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az/Documents/IIMU/Term IV/CV B/"/>
    </mc:Choice>
  </mc:AlternateContent>
  <xr:revisionPtr revIDLastSave="0" documentId="13_ncr:1_{39FDFC3F-EB8E-7046-AF62-74AE3FDB4A81}" xr6:coauthVersionLast="47" xr6:coauthVersionMax="47" xr10:uidLastSave="{00000000-0000-0000-0000-000000000000}"/>
  <bookViews>
    <workbookView xWindow="0" yWindow="740" windowWidth="29400" windowHeight="18380" activeTab="8" xr2:uid="{193BB54D-166A-DD4D-A725-D4C4F75528C8}"/>
  </bookViews>
  <sheets>
    <sheet name="Valuation" sheetId="4" r:id="rId1"/>
    <sheet name="Revenue Prediction" sheetId="5" r:id="rId2"/>
    <sheet name="Financial Statements" sheetId="1" r:id="rId3"/>
    <sheet name="CapEx Readjustments" sheetId="7" r:id="rId4"/>
    <sheet name="Beta" sheetId="3" r:id="rId5"/>
    <sheet name="Mature MRP" sheetId="9" r:id="rId6"/>
    <sheet name="Geography CRP &amp; Lambda" sheetId="10" r:id="rId7"/>
    <sheet name="Damodaran CRP by Country" sheetId="11" r:id="rId8"/>
    <sheet name="WACC" sheetId="12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2" l="1"/>
  <c r="F2" i="12"/>
  <c r="C110" i="3"/>
  <c r="B110" i="3"/>
  <c r="C109" i="3"/>
  <c r="C108" i="3"/>
  <c r="B108" i="3"/>
  <c r="F4" i="12" l="1"/>
  <c r="F25" i="1"/>
  <c r="F33" i="1"/>
  <c r="F161" i="1"/>
  <c r="B5" i="4"/>
  <c r="B6" i="4"/>
  <c r="B7" i="4"/>
  <c r="B8" i="4"/>
  <c r="B10" i="4"/>
  <c r="B12" i="4"/>
  <c r="B13" i="4"/>
  <c r="B14" i="4"/>
  <c r="C8" i="4"/>
  <c r="C150" i="1"/>
  <c r="C147" i="1"/>
  <c r="D147" i="1"/>
  <c r="D150" i="1" s="1"/>
  <c r="E147" i="1"/>
  <c r="E150" i="1" s="1"/>
  <c r="B147" i="1"/>
  <c r="C146" i="1"/>
  <c r="C149" i="1" s="1"/>
  <c r="D146" i="1"/>
  <c r="D149" i="1" s="1"/>
  <c r="E146" i="1"/>
  <c r="B146" i="1"/>
  <c r="B24" i="12"/>
  <c r="B23" i="12"/>
  <c r="B11" i="12"/>
  <c r="B10" i="12"/>
  <c r="B6" i="12"/>
  <c r="B9" i="12" s="1"/>
  <c r="E149" i="1" l="1"/>
  <c r="B9" i="4"/>
  <c r="B15" i="4"/>
  <c r="C161" i="10"/>
  <c r="B161" i="10"/>
  <c r="C138" i="10"/>
  <c r="B138" i="10"/>
  <c r="C135" i="10"/>
  <c r="B135" i="10"/>
  <c r="C123" i="10"/>
  <c r="B123" i="10"/>
  <c r="C96" i="10"/>
  <c r="B96" i="10"/>
  <c r="C76" i="10"/>
  <c r="B76" i="10"/>
  <c r="C61" i="10"/>
  <c r="B61" i="10"/>
  <c r="C57" i="10"/>
  <c r="B57" i="10"/>
  <c r="C32" i="10"/>
  <c r="B32" i="10"/>
  <c r="H15" i="10"/>
  <c r="I15" i="10" s="1"/>
  <c r="J15" i="10" s="1"/>
  <c r="G15" i="10"/>
  <c r="N14" i="10" s="1"/>
  <c r="M14" i="10"/>
  <c r="N13" i="10"/>
  <c r="M13" i="10"/>
  <c r="O13" i="10" s="1"/>
  <c r="I12" i="10"/>
  <c r="J12" i="10" s="1"/>
  <c r="H12" i="10"/>
  <c r="G12" i="10"/>
  <c r="N10" i="10" s="1"/>
  <c r="N11" i="10"/>
  <c r="M11" i="10"/>
  <c r="O11" i="10" s="1"/>
  <c r="M10" i="10"/>
  <c r="N9" i="10"/>
  <c r="M9" i="10"/>
  <c r="O9" i="10" s="1"/>
  <c r="I8" i="10"/>
  <c r="J8" i="10" s="1"/>
  <c r="H8" i="10"/>
  <c r="G8" i="10"/>
  <c r="N6" i="10" s="1"/>
  <c r="M7" i="10"/>
  <c r="M6" i="10"/>
  <c r="O6" i="10" s="1"/>
  <c r="N5" i="10"/>
  <c r="M5" i="10"/>
  <c r="O5" i="10" s="1"/>
  <c r="M4" i="10"/>
  <c r="B194" i="11"/>
  <c r="B180" i="11"/>
  <c r="A179" i="11"/>
  <c r="A178" i="11"/>
  <c r="B177" i="11"/>
  <c r="A177" i="11"/>
  <c r="A176" i="11"/>
  <c r="B175" i="11"/>
  <c r="A175" i="11"/>
  <c r="A174" i="11"/>
  <c r="A173" i="11"/>
  <c r="A172" i="11"/>
  <c r="A171" i="11"/>
  <c r="E167" i="11"/>
  <c r="B179" i="11" s="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B178" i="11" s="1"/>
  <c r="E139" i="11"/>
  <c r="B188" i="11" s="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B176" i="11" s="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B174" i="11" s="1"/>
  <c r="B186" i="11" s="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B173" i="11" s="1"/>
  <c r="B185" i="11" s="1"/>
  <c r="E60" i="11"/>
  <c r="E59" i="11"/>
  <c r="E58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B187" i="11" s="1"/>
  <c r="E39" i="11"/>
  <c r="E38" i="11"/>
  <c r="B192" i="11" s="1"/>
  <c r="E37" i="11"/>
  <c r="E36" i="11"/>
  <c r="E35" i="11"/>
  <c r="B193" i="11" s="1"/>
  <c r="E34" i="11"/>
  <c r="E33" i="11"/>
  <c r="C57" i="11" s="1"/>
  <c r="E57" i="11" s="1"/>
  <c r="B172" i="11" s="1"/>
  <c r="B191" i="11" s="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C32" i="11" s="1"/>
  <c r="E32" i="11" s="1"/>
  <c r="B171" i="11" s="1"/>
  <c r="E2" i="11"/>
  <c r="O14" i="10" l="1"/>
  <c r="O10" i="10"/>
  <c r="M12" i="10" s="1"/>
  <c r="B14" i="12" s="1"/>
  <c r="M15" i="10"/>
  <c r="B16" i="12" s="1"/>
  <c r="N4" i="10"/>
  <c r="O4" i="10" s="1"/>
  <c r="N7" i="10"/>
  <c r="O7" i="10" s="1"/>
  <c r="B184" i="11"/>
  <c r="B190" i="11"/>
  <c r="B198" i="11"/>
  <c r="B189" i="11"/>
  <c r="M8" i="10" l="1"/>
  <c r="B12" i="12" s="1"/>
  <c r="B18" i="9"/>
  <c r="E12" i="9"/>
  <c r="C8" i="9"/>
  <c r="F6" i="9"/>
  <c r="D8" i="9"/>
  <c r="E8" i="9"/>
  <c r="F8" i="9"/>
  <c r="E10" i="9"/>
  <c r="E11" i="9" s="1"/>
  <c r="D9" i="9"/>
  <c r="E9" i="9"/>
  <c r="C9" i="9"/>
  <c r="F13" i="7"/>
  <c r="F12" i="7"/>
  <c r="E12" i="7"/>
  <c r="D12" i="7"/>
  <c r="C12" i="7"/>
  <c r="B12" i="7"/>
  <c r="F54" i="1"/>
  <c r="D10" i="9" l="1"/>
  <c r="D11" i="9" s="1"/>
  <c r="D13" i="9" s="1"/>
  <c r="D14" i="9" s="1"/>
  <c r="C10" i="9"/>
  <c r="C11" i="9" s="1"/>
  <c r="C13" i="9" s="1"/>
  <c r="C14" i="9" s="1"/>
  <c r="D11" i="7"/>
  <c r="C11" i="7"/>
  <c r="B11" i="7"/>
  <c r="E11" i="7"/>
  <c r="C136" i="1"/>
  <c r="C128" i="1"/>
  <c r="F66" i="1"/>
  <c r="G66" i="1" s="1"/>
  <c r="H66" i="1" s="1"/>
  <c r="I66" i="1" s="1"/>
  <c r="J66" i="1" s="1"/>
  <c r="K66" i="1" s="1"/>
  <c r="L66" i="1" s="1"/>
  <c r="M66" i="1" s="1"/>
  <c r="F65" i="1"/>
  <c r="G65" i="1" s="1"/>
  <c r="H65" i="1" s="1"/>
  <c r="I65" i="1" s="1"/>
  <c r="J65" i="1" s="1"/>
  <c r="K65" i="1" s="1"/>
  <c r="L65" i="1" s="1"/>
  <c r="M65" i="1" s="1"/>
  <c r="F62" i="1"/>
  <c r="G62" i="1" s="1"/>
  <c r="H62" i="1" s="1"/>
  <c r="I62" i="1" s="1"/>
  <c r="J62" i="1" s="1"/>
  <c r="K62" i="1" s="1"/>
  <c r="L62" i="1" s="1"/>
  <c r="M62" i="1" s="1"/>
  <c r="F59" i="1"/>
  <c r="G59" i="1" s="1"/>
  <c r="H59" i="1" s="1"/>
  <c r="I59" i="1" s="1"/>
  <c r="J59" i="1" s="1"/>
  <c r="K59" i="1" s="1"/>
  <c r="L59" i="1" s="1"/>
  <c r="M59" i="1" s="1"/>
  <c r="F57" i="1"/>
  <c r="G57" i="1" s="1"/>
  <c r="H57" i="1" s="1"/>
  <c r="F56" i="1"/>
  <c r="G56" i="1" s="1"/>
  <c r="H56" i="1" s="1"/>
  <c r="I56" i="1" s="1"/>
  <c r="J56" i="1" s="1"/>
  <c r="K56" i="1" s="1"/>
  <c r="L56" i="1" s="1"/>
  <c r="M56" i="1" s="1"/>
  <c r="G54" i="1"/>
  <c r="H54" i="1" s="1"/>
  <c r="I54" i="1" s="1"/>
  <c r="J54" i="1" s="1"/>
  <c r="F44" i="1"/>
  <c r="G44" i="1" s="1"/>
  <c r="H44" i="1" s="1"/>
  <c r="I44" i="1" s="1"/>
  <c r="J44" i="1" s="1"/>
  <c r="K44" i="1" s="1"/>
  <c r="L44" i="1" s="1"/>
  <c r="M44" i="1" s="1"/>
  <c r="F43" i="1"/>
  <c r="G43" i="1" s="1"/>
  <c r="H43" i="1" s="1"/>
  <c r="I43" i="1" s="1"/>
  <c r="J43" i="1" s="1"/>
  <c r="K43" i="1" s="1"/>
  <c r="L43" i="1" s="1"/>
  <c r="M43" i="1" s="1"/>
  <c r="F42" i="1"/>
  <c r="G42" i="1" s="1"/>
  <c r="H42" i="1" s="1"/>
  <c r="I42" i="1" s="1"/>
  <c r="J42" i="1" s="1"/>
  <c r="K42" i="1" s="1"/>
  <c r="L42" i="1" s="1"/>
  <c r="M42" i="1" s="1"/>
  <c r="F41" i="1"/>
  <c r="G41" i="1" s="1"/>
  <c r="H41" i="1" s="1"/>
  <c r="I41" i="1" s="1"/>
  <c r="J41" i="1" s="1"/>
  <c r="K41" i="1" s="1"/>
  <c r="L41" i="1" s="1"/>
  <c r="M41" i="1" s="1"/>
  <c r="C99" i="1"/>
  <c r="D99" i="1"/>
  <c r="E99" i="1"/>
  <c r="B99" i="1"/>
  <c r="D128" i="1"/>
  <c r="E128" i="1"/>
  <c r="B128" i="1"/>
  <c r="C72" i="1"/>
  <c r="E80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C81" i="1"/>
  <c r="D81" i="1"/>
  <c r="E81" i="1"/>
  <c r="C82" i="1"/>
  <c r="D82" i="1"/>
  <c r="E82" i="1"/>
  <c r="B82" i="1"/>
  <c r="B81" i="1"/>
  <c r="B80" i="1"/>
  <c r="B79" i="1"/>
  <c r="B78" i="1"/>
  <c r="B77" i="1"/>
  <c r="B76" i="1"/>
  <c r="C97" i="1"/>
  <c r="D97" i="1"/>
  <c r="E97" i="1"/>
  <c r="F97" i="1" s="1"/>
  <c r="F96" i="1" s="1"/>
  <c r="C95" i="1"/>
  <c r="D95" i="1"/>
  <c r="E95" i="1"/>
  <c r="F95" i="1" s="1"/>
  <c r="G95" i="1" s="1"/>
  <c r="H95" i="1" s="1"/>
  <c r="I95" i="1" s="1"/>
  <c r="C93" i="1"/>
  <c r="D93" i="1"/>
  <c r="E93" i="1"/>
  <c r="F93" i="1" s="1"/>
  <c r="F92" i="1" s="1"/>
  <c r="C5" i="4" s="1"/>
  <c r="B97" i="1"/>
  <c r="B95" i="1"/>
  <c r="B93" i="1"/>
  <c r="C120" i="1"/>
  <c r="D120" i="1"/>
  <c r="E120" i="1"/>
  <c r="B120" i="1"/>
  <c r="G89" i="1"/>
  <c r="H89" i="1"/>
  <c r="I89" i="1"/>
  <c r="J89" i="1"/>
  <c r="K89" i="1"/>
  <c r="L89" i="1"/>
  <c r="M89" i="1"/>
  <c r="F89" i="1"/>
  <c r="C6" i="7"/>
  <c r="C7" i="7" s="1"/>
  <c r="D6" i="7"/>
  <c r="D7" i="7" s="1"/>
  <c r="E6" i="7"/>
  <c r="E7" i="7" s="1"/>
  <c r="F7" i="7" s="1"/>
  <c r="B6" i="7"/>
  <c r="B7" i="7" s="1"/>
  <c r="C4" i="7"/>
  <c r="C5" i="7" s="1"/>
  <c r="D4" i="7"/>
  <c r="D5" i="7" s="1"/>
  <c r="E4" i="7"/>
  <c r="E5" i="7" s="1"/>
  <c r="B4" i="7"/>
  <c r="F135" i="1" l="1"/>
  <c r="C7" i="4"/>
  <c r="F10" i="9"/>
  <c r="F11" i="9" s="1"/>
  <c r="F64" i="1"/>
  <c r="F67" i="1" s="1"/>
  <c r="F94" i="1"/>
  <c r="C6" i="4" s="1"/>
  <c r="C9" i="4" s="1"/>
  <c r="F78" i="1"/>
  <c r="G78" i="1" s="1"/>
  <c r="H78" i="1" s="1"/>
  <c r="I78" i="1" s="1"/>
  <c r="J78" i="1" s="1"/>
  <c r="K78" i="1" s="1"/>
  <c r="L78" i="1" s="1"/>
  <c r="M78" i="1" s="1"/>
  <c r="G97" i="1"/>
  <c r="H97" i="1" s="1"/>
  <c r="I97" i="1" s="1"/>
  <c r="J97" i="1" s="1"/>
  <c r="K97" i="1" s="1"/>
  <c r="L97" i="1" s="1"/>
  <c r="G93" i="1"/>
  <c r="H93" i="1" s="1"/>
  <c r="J95" i="1"/>
  <c r="I57" i="1"/>
  <c r="K54" i="1"/>
  <c r="F40" i="1"/>
  <c r="F79" i="1"/>
  <c r="F76" i="1"/>
  <c r="G76" i="1" s="1"/>
  <c r="F81" i="1"/>
  <c r="G81" i="1" s="1"/>
  <c r="F80" i="1"/>
  <c r="G80" i="1" s="1"/>
  <c r="F77" i="1"/>
  <c r="G77" i="1" s="1"/>
  <c r="F120" i="1"/>
  <c r="G120" i="1" s="1"/>
  <c r="H120" i="1" s="1"/>
  <c r="G7" i="7"/>
  <c r="H7" i="7" s="1"/>
  <c r="I7" i="7" s="1"/>
  <c r="J7" i="7" s="1"/>
  <c r="K7" i="7" s="1"/>
  <c r="L7" i="7" s="1"/>
  <c r="M7" i="7" s="1"/>
  <c r="F5" i="7"/>
  <c r="G5" i="7" s="1"/>
  <c r="B5" i="7"/>
  <c r="D6" i="1"/>
  <c r="E6" i="1"/>
  <c r="C14" i="1"/>
  <c r="D14" i="1"/>
  <c r="E14" i="1"/>
  <c r="C12" i="1"/>
  <c r="D12" i="1"/>
  <c r="E12" i="1"/>
  <c r="C10" i="1"/>
  <c r="D10" i="1"/>
  <c r="E10" i="1"/>
  <c r="F10" i="1" s="1"/>
  <c r="G10" i="1" s="1"/>
  <c r="B14" i="1"/>
  <c r="B12" i="1"/>
  <c r="B10" i="1"/>
  <c r="C16" i="1"/>
  <c r="D16" i="1"/>
  <c r="E16" i="1"/>
  <c r="B16" i="1"/>
  <c r="C5" i="1"/>
  <c r="D5" i="1"/>
  <c r="E5" i="1"/>
  <c r="F5" i="1" s="1"/>
  <c r="G5" i="1" s="1"/>
  <c r="C6" i="1"/>
  <c r="C17" i="1" s="1"/>
  <c r="C159" i="1" s="1"/>
  <c r="B6" i="1"/>
  <c r="B5" i="1"/>
  <c r="D3" i="1"/>
  <c r="E3" i="1"/>
  <c r="C3" i="1"/>
  <c r="E13" i="9" l="1"/>
  <c r="E14" i="9" s="1"/>
  <c r="B15" i="9" s="1"/>
  <c r="G96" i="1"/>
  <c r="H81" i="1"/>
  <c r="G79" i="1"/>
  <c r="I120" i="1"/>
  <c r="H77" i="1"/>
  <c r="H80" i="1"/>
  <c r="G40" i="1"/>
  <c r="H96" i="1" s="1"/>
  <c r="H76" i="1"/>
  <c r="C21" i="1"/>
  <c r="M97" i="1"/>
  <c r="I93" i="1"/>
  <c r="K95" i="1"/>
  <c r="L54" i="1"/>
  <c r="J57" i="1"/>
  <c r="H5" i="7"/>
  <c r="I5" i="7" s="1"/>
  <c r="E17" i="1"/>
  <c r="E159" i="1" s="1"/>
  <c r="D17" i="1"/>
  <c r="D159" i="1" s="1"/>
  <c r="F14" i="1"/>
  <c r="G14" i="1" s="1"/>
  <c r="H14" i="1" s="1"/>
  <c r="I14" i="1" s="1"/>
  <c r="J14" i="1" s="1"/>
  <c r="K14" i="1" s="1"/>
  <c r="B17" i="1"/>
  <c r="H10" i="1"/>
  <c r="H5" i="1"/>
  <c r="F12" i="1"/>
  <c r="G12" i="1" s="1"/>
  <c r="H12" i="1" s="1"/>
  <c r="I12" i="1" s="1"/>
  <c r="J12" i="1" s="1"/>
  <c r="K12" i="1" s="1"/>
  <c r="L12" i="1" s="1"/>
  <c r="C7" i="1"/>
  <c r="H135" i="1" l="1"/>
  <c r="E7" i="4"/>
  <c r="B21" i="1"/>
  <c r="B151" i="1" s="1"/>
  <c r="B159" i="1"/>
  <c r="G135" i="1"/>
  <c r="G64" i="1" s="1"/>
  <c r="D7" i="4"/>
  <c r="C25" i="1"/>
  <c r="C28" i="1" s="1"/>
  <c r="C151" i="1"/>
  <c r="H40" i="1"/>
  <c r="I96" i="1" s="1"/>
  <c r="I76" i="1"/>
  <c r="J120" i="1"/>
  <c r="I77" i="1"/>
  <c r="G67" i="1"/>
  <c r="H64" i="1"/>
  <c r="D21" i="1"/>
  <c r="H79" i="1"/>
  <c r="I80" i="1"/>
  <c r="E21" i="1"/>
  <c r="I81" i="1"/>
  <c r="J93" i="1"/>
  <c r="L95" i="1"/>
  <c r="M54" i="1"/>
  <c r="K57" i="1"/>
  <c r="J5" i="7"/>
  <c r="C18" i="1"/>
  <c r="M12" i="1"/>
  <c r="I10" i="1"/>
  <c r="J10" i="1" s="1"/>
  <c r="K10" i="1" s="1"/>
  <c r="L10" i="1" s="1"/>
  <c r="I5" i="1"/>
  <c r="J5" i="1" s="1"/>
  <c r="K5" i="1" s="1"/>
  <c r="L5" i="1" s="1"/>
  <c r="L14" i="1"/>
  <c r="C29" i="1" l="1"/>
  <c r="C31" i="1" s="1"/>
  <c r="B25" i="1"/>
  <c r="B29" i="1" s="1"/>
  <c r="B31" i="1" s="1"/>
  <c r="I135" i="1"/>
  <c r="F7" i="4"/>
  <c r="D25" i="1"/>
  <c r="D151" i="1"/>
  <c r="E25" i="1"/>
  <c r="E151" i="1"/>
  <c r="B88" i="1"/>
  <c r="C26" i="1"/>
  <c r="B28" i="1"/>
  <c r="C22" i="1"/>
  <c r="I79" i="1"/>
  <c r="J77" i="1"/>
  <c r="F11" i="7"/>
  <c r="J80" i="1"/>
  <c r="J81" i="1"/>
  <c r="K120" i="1"/>
  <c r="J76" i="1"/>
  <c r="H67" i="1"/>
  <c r="I64" i="1"/>
  <c r="I40" i="1"/>
  <c r="K93" i="1"/>
  <c r="M95" i="1"/>
  <c r="L57" i="1"/>
  <c r="B107" i="1"/>
  <c r="B117" i="1" s="1"/>
  <c r="C88" i="1"/>
  <c r="C107" i="1" s="1"/>
  <c r="C117" i="1" s="1"/>
  <c r="C138" i="1" s="1"/>
  <c r="C144" i="1"/>
  <c r="K5" i="7"/>
  <c r="C32" i="1"/>
  <c r="M14" i="1"/>
  <c r="M5" i="1"/>
  <c r="M10" i="1"/>
  <c r="B144" i="1" l="1"/>
  <c r="B154" i="1"/>
  <c r="B155" i="1"/>
  <c r="B160" i="1"/>
  <c r="C160" i="1"/>
  <c r="C155" i="1"/>
  <c r="C162" i="1"/>
  <c r="C154" i="1"/>
  <c r="B3" i="4"/>
  <c r="B16" i="4" s="1"/>
  <c r="K81" i="1"/>
  <c r="K76" i="1"/>
  <c r="I67" i="1"/>
  <c r="K80" i="1"/>
  <c r="L120" i="1"/>
  <c r="K77" i="1"/>
  <c r="J79" i="1"/>
  <c r="G11" i="7"/>
  <c r="J96" i="1"/>
  <c r="L93" i="1"/>
  <c r="M57" i="1"/>
  <c r="L5" i="7"/>
  <c r="J135" i="1" l="1"/>
  <c r="G7" i="4"/>
  <c r="M120" i="1"/>
  <c r="H11" i="7"/>
  <c r="L80" i="1"/>
  <c r="L81" i="1"/>
  <c r="K79" i="1"/>
  <c r="L76" i="1"/>
  <c r="L77" i="1"/>
  <c r="J64" i="1"/>
  <c r="M93" i="1"/>
  <c r="J40" i="1"/>
  <c r="M5" i="7"/>
  <c r="F98" i="1" l="1"/>
  <c r="F99" i="1" s="1"/>
  <c r="M81" i="1"/>
  <c r="M77" i="1"/>
  <c r="L79" i="1"/>
  <c r="M76" i="1"/>
  <c r="J67" i="1"/>
  <c r="I11" i="7"/>
  <c r="M80" i="1"/>
  <c r="K96" i="1"/>
  <c r="K135" i="1" l="1"/>
  <c r="H7" i="4"/>
  <c r="J11" i="7"/>
  <c r="M79" i="1"/>
  <c r="K64" i="1"/>
  <c r="K40" i="1"/>
  <c r="K67" i="1" l="1"/>
  <c r="K11" i="7"/>
  <c r="L96" i="1"/>
  <c r="L135" i="1" l="1"/>
  <c r="I7" i="4"/>
  <c r="L11" i="7"/>
  <c r="L64" i="1"/>
  <c r="L40" i="1"/>
  <c r="L67" i="1" l="1"/>
  <c r="M11" i="7"/>
  <c r="M96" i="1"/>
  <c r="M135" i="1" l="1"/>
  <c r="J7" i="4"/>
  <c r="M64" i="1"/>
  <c r="M67" i="1" s="1"/>
  <c r="M40" i="1"/>
  <c r="C139" i="1" l="1"/>
  <c r="C140" i="1" s="1"/>
  <c r="E136" i="1"/>
  <c r="D136" i="1"/>
  <c r="B136" i="1"/>
  <c r="E72" i="1"/>
  <c r="D72" i="1"/>
  <c r="B72" i="1"/>
  <c r="E67" i="1"/>
  <c r="D67" i="1"/>
  <c r="C67" i="1"/>
  <c r="B67" i="1"/>
  <c r="E61" i="1"/>
  <c r="E63" i="1" s="1"/>
  <c r="D61" i="1"/>
  <c r="D63" i="1" s="1"/>
  <c r="C61" i="1"/>
  <c r="C63" i="1" s="1"/>
  <c r="B61" i="1"/>
  <c r="B63" i="1" s="1"/>
  <c r="B50" i="1"/>
  <c r="E45" i="1"/>
  <c r="D45" i="1"/>
  <c r="C45" i="1"/>
  <c r="B45" i="1"/>
  <c r="C73" i="1" l="1"/>
  <c r="C145" i="1" s="1"/>
  <c r="B73" i="1"/>
  <c r="B145" i="1" s="1"/>
  <c r="C49" i="1"/>
  <c r="C50" i="1" s="1"/>
  <c r="D73" i="1"/>
  <c r="D145" i="1" s="1"/>
  <c r="D148" i="1" s="1"/>
  <c r="D161" i="1" s="1"/>
  <c r="D7" i="1"/>
  <c r="E7" i="1"/>
  <c r="E73" i="1"/>
  <c r="E145" i="1" s="1"/>
  <c r="E148" i="1" s="1"/>
  <c r="E161" i="1" s="1"/>
  <c r="B51" i="1"/>
  <c r="B138" i="1"/>
  <c r="B140" i="1" s="1"/>
  <c r="C148" i="1" l="1"/>
  <c r="C161" i="1" s="1"/>
  <c r="B84" i="1"/>
  <c r="F82" i="1" s="1"/>
  <c r="G82" i="1" s="1"/>
  <c r="E18" i="1"/>
  <c r="D18" i="1"/>
  <c r="C51" i="1"/>
  <c r="D139" i="1"/>
  <c r="F7" i="5"/>
  <c r="F8" i="5"/>
  <c r="F6" i="5"/>
  <c r="G6" i="5" s="1"/>
  <c r="D3" i="5"/>
  <c r="E3" i="5"/>
  <c r="C3" i="5"/>
  <c r="C12" i="5"/>
  <c r="D12" i="5"/>
  <c r="E12" i="5"/>
  <c r="C13" i="5"/>
  <c r="D13" i="5"/>
  <c r="E13" i="5"/>
  <c r="D11" i="5"/>
  <c r="E11" i="5"/>
  <c r="C11" i="5"/>
  <c r="E16" i="5"/>
  <c r="C16" i="5"/>
  <c r="D16" i="5"/>
  <c r="C17" i="5"/>
  <c r="D17" i="5"/>
  <c r="E17" i="5"/>
  <c r="C18" i="5"/>
  <c r="D18" i="5"/>
  <c r="E18" i="5"/>
  <c r="B17" i="5"/>
  <c r="B18" i="5"/>
  <c r="B16" i="5"/>
  <c r="C99" i="3"/>
  <c r="D99" i="3"/>
  <c r="B99" i="3"/>
  <c r="C98" i="3"/>
  <c r="B100" i="3" s="1"/>
  <c r="D98" i="3"/>
  <c r="B98" i="3"/>
  <c r="G92" i="3"/>
  <c r="G79" i="3"/>
  <c r="G67" i="3"/>
  <c r="G55" i="3"/>
  <c r="G43" i="3"/>
  <c r="G30" i="3"/>
  <c r="G16" i="3"/>
  <c r="D86" i="3"/>
  <c r="C86" i="3"/>
  <c r="B86" i="3"/>
  <c r="D85" i="3"/>
  <c r="C85" i="3"/>
  <c r="B85" i="3"/>
  <c r="C73" i="3"/>
  <c r="D73" i="3"/>
  <c r="B73" i="3"/>
  <c r="C72" i="3"/>
  <c r="D72" i="3"/>
  <c r="B72" i="3"/>
  <c r="C61" i="3"/>
  <c r="D61" i="3"/>
  <c r="B61" i="3"/>
  <c r="C60" i="3"/>
  <c r="D60" i="3"/>
  <c r="B60" i="3"/>
  <c r="C49" i="3"/>
  <c r="D49" i="3"/>
  <c r="B49" i="3"/>
  <c r="C48" i="3"/>
  <c r="D48" i="3"/>
  <c r="B48" i="3"/>
  <c r="C37" i="3"/>
  <c r="D37" i="3"/>
  <c r="B37" i="3"/>
  <c r="C36" i="3"/>
  <c r="D36" i="3"/>
  <c r="B36" i="3"/>
  <c r="C24" i="3"/>
  <c r="D24" i="3"/>
  <c r="B24" i="3"/>
  <c r="C23" i="3"/>
  <c r="D23" i="3"/>
  <c r="B23" i="3"/>
  <c r="C10" i="3"/>
  <c r="D10" i="3"/>
  <c r="B10" i="3"/>
  <c r="C9" i="3"/>
  <c r="D9" i="3"/>
  <c r="B9" i="3"/>
  <c r="C84" i="1" l="1"/>
  <c r="C163" i="1"/>
  <c r="H6" i="5"/>
  <c r="G8" i="5"/>
  <c r="F18" i="5"/>
  <c r="F16" i="5"/>
  <c r="G7" i="5"/>
  <c r="G2" i="5" s="1"/>
  <c r="G16" i="5" s="1"/>
  <c r="F17" i="5"/>
  <c r="H82" i="1"/>
  <c r="D22" i="1"/>
  <c r="E22" i="1"/>
  <c r="F2" i="5"/>
  <c r="B25" i="3"/>
  <c r="H30" i="3" s="1"/>
  <c r="I30" i="3" s="1"/>
  <c r="B62" i="3"/>
  <c r="B38" i="3"/>
  <c r="H43" i="3" s="1"/>
  <c r="I43" i="3" s="1"/>
  <c r="B74" i="3"/>
  <c r="H79" i="3" s="1"/>
  <c r="I79" i="3" s="1"/>
  <c r="B87" i="3"/>
  <c r="H92" i="3" s="1"/>
  <c r="I92" i="3" s="1"/>
  <c r="B50" i="3"/>
  <c r="H55" i="3" s="1"/>
  <c r="I55" i="3" s="1"/>
  <c r="H67" i="3"/>
  <c r="I67" i="3" s="1"/>
  <c r="B11" i="3"/>
  <c r="H16" i="3" s="1"/>
  <c r="I16" i="3" s="1"/>
  <c r="F3" i="5" l="1"/>
  <c r="F4" i="7"/>
  <c r="F10" i="7"/>
  <c r="G3" i="5"/>
  <c r="G4" i="7"/>
  <c r="G10" i="7"/>
  <c r="H7" i="5"/>
  <c r="G17" i="5"/>
  <c r="H8" i="5"/>
  <c r="G18" i="5"/>
  <c r="I6" i="5"/>
  <c r="I82" i="1"/>
  <c r="E29" i="1"/>
  <c r="E28" i="1"/>
  <c r="E26" i="1"/>
  <c r="D29" i="1"/>
  <c r="D28" i="1"/>
  <c r="D26" i="1"/>
  <c r="B107" i="3"/>
  <c r="B109" i="3" s="1"/>
  <c r="I8" i="5" l="1"/>
  <c r="F124" i="1"/>
  <c r="F6" i="7"/>
  <c r="I7" i="5"/>
  <c r="H17" i="5"/>
  <c r="H2" i="5"/>
  <c r="H18" i="5" s="1"/>
  <c r="G124" i="1"/>
  <c r="D13" i="4" s="1"/>
  <c r="G6" i="7"/>
  <c r="J6" i="5"/>
  <c r="F15" i="7"/>
  <c r="F127" i="1"/>
  <c r="C14" i="4" s="1"/>
  <c r="F14" i="7"/>
  <c r="F20" i="1"/>
  <c r="G20" i="1"/>
  <c r="G127" i="1"/>
  <c r="D14" i="4" s="1"/>
  <c r="J82" i="1"/>
  <c r="D31" i="1"/>
  <c r="E31" i="1"/>
  <c r="J7" i="5" l="1"/>
  <c r="D144" i="1"/>
  <c r="D162" i="1"/>
  <c r="D160" i="1"/>
  <c r="D155" i="1"/>
  <c r="D154" i="1"/>
  <c r="E154" i="1"/>
  <c r="E162" i="1"/>
  <c r="E160" i="1"/>
  <c r="E155" i="1"/>
  <c r="I2" i="5"/>
  <c r="F38" i="1"/>
  <c r="C13" i="4"/>
  <c r="K6" i="5"/>
  <c r="J8" i="5"/>
  <c r="G12" i="7"/>
  <c r="F60" i="1"/>
  <c r="F39" i="1"/>
  <c r="H4" i="7"/>
  <c r="H10" i="7"/>
  <c r="H3" i="5"/>
  <c r="H16" i="5"/>
  <c r="K82" i="1"/>
  <c r="E88" i="1"/>
  <c r="E107" i="1" s="1"/>
  <c r="E117" i="1" s="1"/>
  <c r="E138" i="1" s="1"/>
  <c r="E144" i="1"/>
  <c r="D88" i="1"/>
  <c r="D107" i="1" s="1"/>
  <c r="D117" i="1" s="1"/>
  <c r="E32" i="1"/>
  <c r="D32" i="1"/>
  <c r="G94" i="1" l="1"/>
  <c r="G38" i="1"/>
  <c r="I4" i="7"/>
  <c r="I10" i="7"/>
  <c r="I3" i="5"/>
  <c r="I16" i="5"/>
  <c r="H20" i="1"/>
  <c r="H127" i="1"/>
  <c r="E14" i="4" s="1"/>
  <c r="G13" i="7"/>
  <c r="G14" i="7"/>
  <c r="I18" i="5"/>
  <c r="K8" i="5"/>
  <c r="I17" i="5"/>
  <c r="J2" i="5"/>
  <c r="J17" i="5" s="1"/>
  <c r="K7" i="5"/>
  <c r="H124" i="1"/>
  <c r="E13" i="4" s="1"/>
  <c r="H6" i="7"/>
  <c r="L6" i="5"/>
  <c r="L82" i="1"/>
  <c r="D138" i="1"/>
  <c r="D140" i="1" s="1"/>
  <c r="D49" i="1" s="1"/>
  <c r="J18" i="5" l="1"/>
  <c r="L8" i="5"/>
  <c r="K2" i="5"/>
  <c r="K18" i="5" s="1"/>
  <c r="M6" i="5"/>
  <c r="L2" i="5"/>
  <c r="H12" i="7"/>
  <c r="G39" i="1"/>
  <c r="G60" i="1"/>
  <c r="L7" i="5"/>
  <c r="D8" i="4"/>
  <c r="G98" i="1"/>
  <c r="G15" i="7"/>
  <c r="H94" i="1"/>
  <c r="E6" i="4" s="1"/>
  <c r="I20" i="1"/>
  <c r="I127" i="1"/>
  <c r="F14" i="4" s="1"/>
  <c r="I6" i="7"/>
  <c r="I124" i="1"/>
  <c r="F13" i="4" s="1"/>
  <c r="J4" i="7"/>
  <c r="J10" i="7"/>
  <c r="J3" i="5"/>
  <c r="J16" i="5"/>
  <c r="D6" i="4"/>
  <c r="M82" i="1"/>
  <c r="D50" i="1"/>
  <c r="D51" i="1" s="1"/>
  <c r="E139" i="1"/>
  <c r="E140" i="1" s="1"/>
  <c r="E49" i="1" s="1"/>
  <c r="K17" i="5" l="1"/>
  <c r="J127" i="1"/>
  <c r="G14" i="4" s="1"/>
  <c r="J20" i="1"/>
  <c r="J6" i="7"/>
  <c r="J124" i="1"/>
  <c r="G13" i="4" s="1"/>
  <c r="M7" i="5"/>
  <c r="L17" i="5"/>
  <c r="M8" i="5"/>
  <c r="L18" i="5"/>
  <c r="H13" i="7"/>
  <c r="H14" i="7"/>
  <c r="L3" i="5"/>
  <c r="L4" i="7"/>
  <c r="L10" i="7"/>
  <c r="L16" i="5"/>
  <c r="K4" i="7"/>
  <c r="K10" i="7"/>
  <c r="K3" i="5"/>
  <c r="K16" i="5"/>
  <c r="D84" i="1"/>
  <c r="D163" i="1"/>
  <c r="H38" i="1"/>
  <c r="E50" i="1"/>
  <c r="E51" i="1" s="1"/>
  <c r="F139" i="1"/>
  <c r="K20" i="1" l="1"/>
  <c r="K127" i="1"/>
  <c r="H14" i="4" s="1"/>
  <c r="I94" i="1"/>
  <c r="F6" i="4" s="1"/>
  <c r="I38" i="1"/>
  <c r="K6" i="7"/>
  <c r="K124" i="1"/>
  <c r="H13" i="4" s="1"/>
  <c r="H15" i="7"/>
  <c r="E8" i="4"/>
  <c r="H98" i="1"/>
  <c r="L20" i="1"/>
  <c r="L127" i="1"/>
  <c r="I14" i="4" s="1"/>
  <c r="L124" i="1"/>
  <c r="I13" i="4" s="1"/>
  <c r="L6" i="7"/>
  <c r="E84" i="1"/>
  <c r="E163" i="1"/>
  <c r="H60" i="1"/>
  <c r="I12" i="7"/>
  <c r="H39" i="1"/>
  <c r="M2" i="5"/>
  <c r="J94" i="1" l="1"/>
  <c r="G6" i="4" s="1"/>
  <c r="J38" i="1"/>
  <c r="M3" i="5"/>
  <c r="M3" i="4" s="1"/>
  <c r="M4" i="7"/>
  <c r="M10" i="7"/>
  <c r="F2" i="1" a="1"/>
  <c r="M16" i="5"/>
  <c r="K8" i="10" s="1"/>
  <c r="L8" i="10" s="1"/>
  <c r="B13" i="12" s="1"/>
  <c r="B18" i="12" s="1"/>
  <c r="I13" i="7"/>
  <c r="M18" i="5"/>
  <c r="K15" i="10" s="1"/>
  <c r="L15" i="10" s="1"/>
  <c r="B17" i="12" s="1"/>
  <c r="M17" i="5"/>
  <c r="K12" i="10" s="1"/>
  <c r="L12" i="10" s="1"/>
  <c r="B15" i="12" s="1"/>
  <c r="I15" i="7" l="1"/>
  <c r="F8" i="4"/>
  <c r="I98" i="1"/>
  <c r="K48" i="1"/>
  <c r="K111" i="1" s="1"/>
  <c r="H70" i="1"/>
  <c r="J70" i="1"/>
  <c r="J68" i="1"/>
  <c r="L68" i="1"/>
  <c r="J11" i="1"/>
  <c r="I4" i="1"/>
  <c r="I69" i="1" s="1"/>
  <c r="K13" i="1"/>
  <c r="M9" i="1"/>
  <c r="L3" i="1"/>
  <c r="M3" i="1"/>
  <c r="G46" i="1"/>
  <c r="J47" i="1"/>
  <c r="G13" i="1"/>
  <c r="G48" i="1"/>
  <c r="J46" i="1"/>
  <c r="G9" i="1"/>
  <c r="L9" i="1"/>
  <c r="I3" i="1"/>
  <c r="L48" i="1"/>
  <c r="G70" i="1"/>
  <c r="L119" i="1"/>
  <c r="H13" i="1"/>
  <c r="L13" i="1"/>
  <c r="M48" i="1"/>
  <c r="I70" i="1"/>
  <c r="L70" i="1"/>
  <c r="G4" i="1"/>
  <c r="G69" i="1" s="1"/>
  <c r="F2" i="1"/>
  <c r="H46" i="1"/>
  <c r="M70" i="1"/>
  <c r="I13" i="1"/>
  <c r="M13" i="1"/>
  <c r="H48" i="1"/>
  <c r="H111" i="1" s="1"/>
  <c r="I68" i="1"/>
  <c r="M46" i="1"/>
  <c r="I9" i="1"/>
  <c r="M4" i="1"/>
  <c r="M69" i="1" s="1"/>
  <c r="G119" i="1"/>
  <c r="H119" i="1"/>
  <c r="G68" i="1"/>
  <c r="K119" i="1"/>
  <c r="L46" i="1"/>
  <c r="L109" i="1" s="1"/>
  <c r="M47" i="1"/>
  <c r="M110" i="1" s="1"/>
  <c r="K11" i="1"/>
  <c r="J9" i="1"/>
  <c r="H4" i="1"/>
  <c r="H69" i="1" s="1"/>
  <c r="J48" i="1"/>
  <c r="J119" i="1"/>
  <c r="L47" i="1"/>
  <c r="L110" i="1" s="1"/>
  <c r="M68" i="1"/>
  <c r="J4" i="1"/>
  <c r="J69" i="1" s="1"/>
  <c r="J113" i="1" s="1"/>
  <c r="M11" i="1"/>
  <c r="H3" i="1"/>
  <c r="G47" i="1"/>
  <c r="H68" i="1"/>
  <c r="M119" i="1"/>
  <c r="J13" i="1"/>
  <c r="J16" i="1" s="1"/>
  <c r="I47" i="1"/>
  <c r="I110" i="1" s="1"/>
  <c r="K68" i="1"/>
  <c r="L11" i="1"/>
  <c r="I119" i="1"/>
  <c r="K47" i="1"/>
  <c r="H11" i="1"/>
  <c r="H9" i="1"/>
  <c r="L4" i="1"/>
  <c r="L69" i="1" s="1"/>
  <c r="L113" i="1" s="1"/>
  <c r="I48" i="1"/>
  <c r="I111" i="1" s="1"/>
  <c r="I46" i="1"/>
  <c r="I109" i="1" s="1"/>
  <c r="K70" i="1"/>
  <c r="G11" i="1"/>
  <c r="K4" i="1"/>
  <c r="K69" i="1" s="1"/>
  <c r="J3" i="1"/>
  <c r="H47" i="1"/>
  <c r="H110" i="1" s="1"/>
  <c r="K46" i="1"/>
  <c r="K109" i="1" s="1"/>
  <c r="I11" i="1"/>
  <c r="K9" i="1"/>
  <c r="K3" i="1"/>
  <c r="M6" i="1"/>
  <c r="G71" i="1"/>
  <c r="H71" i="1"/>
  <c r="H115" i="1" s="1"/>
  <c r="I71" i="1"/>
  <c r="J71" i="1"/>
  <c r="J115" i="1" s="1"/>
  <c r="K71" i="1"/>
  <c r="L71" i="1"/>
  <c r="M71" i="1"/>
  <c r="M127" i="1"/>
  <c r="J14" i="4" s="1"/>
  <c r="M20" i="1"/>
  <c r="M6" i="7"/>
  <c r="M124" i="1"/>
  <c r="J13" i="4" s="1"/>
  <c r="K94" i="1"/>
  <c r="H6" i="4" s="1"/>
  <c r="I14" i="7"/>
  <c r="J114" i="1" l="1"/>
  <c r="M115" i="1"/>
  <c r="K6" i="1"/>
  <c r="L115" i="1"/>
  <c r="I6" i="1"/>
  <c r="G6" i="1"/>
  <c r="K38" i="1"/>
  <c r="L94" i="1" s="1"/>
  <c r="I6" i="4" s="1"/>
  <c r="K115" i="1"/>
  <c r="J110" i="1"/>
  <c r="M109" i="1"/>
  <c r="L111" i="1"/>
  <c r="L6" i="1"/>
  <c r="M7" i="1" s="1"/>
  <c r="I114" i="1"/>
  <c r="I115" i="1"/>
  <c r="H6" i="1"/>
  <c r="H7" i="1" s="1"/>
  <c r="F68" i="1"/>
  <c r="G112" i="1" s="1"/>
  <c r="F119" i="1"/>
  <c r="F4" i="1"/>
  <c r="F69" i="1" s="1"/>
  <c r="F113" i="1" s="1"/>
  <c r="F11" i="1"/>
  <c r="F70" i="1"/>
  <c r="F114" i="1" s="1"/>
  <c r="F3" i="1"/>
  <c r="F9" i="1"/>
  <c r="F48" i="1"/>
  <c r="F111" i="1" s="1"/>
  <c r="F46" i="1"/>
  <c r="F109" i="1" s="1"/>
  <c r="F13" i="1"/>
  <c r="F47" i="1"/>
  <c r="F110" i="1" s="1"/>
  <c r="F71" i="1"/>
  <c r="F115" i="1" s="1"/>
  <c r="H114" i="1"/>
  <c r="L114" i="1"/>
  <c r="K147" i="1"/>
  <c r="K112" i="1"/>
  <c r="K72" i="1"/>
  <c r="H128" i="1"/>
  <c r="E12" i="4"/>
  <c r="E15" i="4" s="1"/>
  <c r="K114" i="1"/>
  <c r="I39" i="1"/>
  <c r="I60" i="1"/>
  <c r="J12" i="7"/>
  <c r="J112" i="1"/>
  <c r="J147" i="1"/>
  <c r="J72" i="1"/>
  <c r="M147" i="1"/>
  <c r="M112" i="1"/>
  <c r="M72" i="1"/>
  <c r="I147" i="1"/>
  <c r="I112" i="1"/>
  <c r="I72" i="1"/>
  <c r="J128" i="1"/>
  <c r="G12" i="4"/>
  <c r="G15" i="4" s="1"/>
  <c r="M16" i="1"/>
  <c r="M17" i="1" s="1"/>
  <c r="J111" i="1"/>
  <c r="L16" i="1"/>
  <c r="K16" i="1"/>
  <c r="K17" i="1" s="1"/>
  <c r="K110" i="1"/>
  <c r="H113" i="1"/>
  <c r="G128" i="1"/>
  <c r="D12" i="4"/>
  <c r="D15" i="4" s="1"/>
  <c r="M114" i="1"/>
  <c r="H16" i="1"/>
  <c r="I113" i="1"/>
  <c r="L147" i="1"/>
  <c r="L112" i="1"/>
  <c r="L116" i="1" s="1"/>
  <c r="I10" i="4" s="1"/>
  <c r="L72" i="1"/>
  <c r="K128" i="1"/>
  <c r="H12" i="4"/>
  <c r="H15" i="4" s="1"/>
  <c r="M128" i="1"/>
  <c r="J12" i="4"/>
  <c r="J15" i="4" s="1"/>
  <c r="G147" i="1"/>
  <c r="G72" i="1"/>
  <c r="M111" i="1"/>
  <c r="J6" i="1"/>
  <c r="K7" i="1" s="1"/>
  <c r="H147" i="1"/>
  <c r="H112" i="1"/>
  <c r="H72" i="1"/>
  <c r="I16" i="1"/>
  <c r="J109" i="1"/>
  <c r="K113" i="1"/>
  <c r="G3" i="1"/>
  <c r="I128" i="1"/>
  <c r="F12" i="4"/>
  <c r="F15" i="4" s="1"/>
  <c r="M113" i="1"/>
  <c r="H109" i="1"/>
  <c r="L128" i="1"/>
  <c r="I12" i="4"/>
  <c r="I15" i="4" s="1"/>
  <c r="G16" i="1"/>
  <c r="I7" i="1" l="1"/>
  <c r="I17" i="1"/>
  <c r="G17" i="1"/>
  <c r="L150" i="1"/>
  <c r="G110" i="1"/>
  <c r="K116" i="1"/>
  <c r="H10" i="4" s="1"/>
  <c r="F6" i="1"/>
  <c r="F7" i="1" s="1"/>
  <c r="L7" i="1"/>
  <c r="G114" i="1"/>
  <c r="H17" i="1"/>
  <c r="M116" i="1"/>
  <c r="J10" i="4" s="1"/>
  <c r="I116" i="1"/>
  <c r="F10" i="4" s="1"/>
  <c r="I150" i="1"/>
  <c r="J116" i="1"/>
  <c r="G10" i="4" s="1"/>
  <c r="L17" i="1"/>
  <c r="L21" i="1" s="1"/>
  <c r="G109" i="1"/>
  <c r="H116" i="1"/>
  <c r="E10" i="4" s="1"/>
  <c r="I21" i="1"/>
  <c r="I159" i="1"/>
  <c r="I18" i="1"/>
  <c r="G111" i="1"/>
  <c r="G21" i="1"/>
  <c r="G159" i="1"/>
  <c r="G7" i="1"/>
  <c r="H150" i="1"/>
  <c r="J13" i="7"/>
  <c r="J14" i="7"/>
  <c r="J7" i="1"/>
  <c r="J17" i="1"/>
  <c r="K18" i="1" s="1"/>
  <c r="G113" i="1"/>
  <c r="K150" i="1"/>
  <c r="F16" i="1"/>
  <c r="F128" i="1"/>
  <c r="C12" i="4"/>
  <c r="C15" i="4" s="1"/>
  <c r="F37" i="1"/>
  <c r="M21" i="1"/>
  <c r="M159" i="1"/>
  <c r="K21" i="1"/>
  <c r="K159" i="1"/>
  <c r="J150" i="1"/>
  <c r="H21" i="1"/>
  <c r="H159" i="1"/>
  <c r="H18" i="1"/>
  <c r="M150" i="1"/>
  <c r="G115" i="1"/>
  <c r="L38" i="1"/>
  <c r="F147" i="1"/>
  <c r="F150" i="1" s="1"/>
  <c r="F112" i="1"/>
  <c r="F116" i="1" s="1"/>
  <c r="C10" i="4" s="1"/>
  <c r="F72" i="1"/>
  <c r="F17" i="1" l="1"/>
  <c r="L18" i="1"/>
  <c r="G116" i="1"/>
  <c r="D10" i="4" s="1"/>
  <c r="L159" i="1"/>
  <c r="M18" i="1"/>
  <c r="F21" i="1"/>
  <c r="G22" i="1" s="1"/>
  <c r="F159" i="1"/>
  <c r="F18" i="1"/>
  <c r="G18" i="1"/>
  <c r="K151" i="1"/>
  <c r="K25" i="1"/>
  <c r="M151" i="1"/>
  <c r="M22" i="1"/>
  <c r="M25" i="1"/>
  <c r="G92" i="1"/>
  <c r="G37" i="1" s="1"/>
  <c r="F45" i="1"/>
  <c r="J39" i="1"/>
  <c r="J60" i="1"/>
  <c r="K12" i="7"/>
  <c r="G151" i="1"/>
  <c r="G25" i="1"/>
  <c r="J21" i="1"/>
  <c r="K22" i="1" s="1"/>
  <c r="J159" i="1"/>
  <c r="J18" i="1"/>
  <c r="I151" i="1"/>
  <c r="I25" i="1"/>
  <c r="I22" i="1"/>
  <c r="H151" i="1"/>
  <c r="H25" i="1"/>
  <c r="H22" i="1"/>
  <c r="G150" i="1"/>
  <c r="M94" i="1"/>
  <c r="J6" i="4" s="1"/>
  <c r="G8" i="4"/>
  <c r="J98" i="1"/>
  <c r="J15" i="7"/>
  <c r="L151" i="1"/>
  <c r="L25" i="1"/>
  <c r="L22" i="1"/>
  <c r="M38" i="1" l="1"/>
  <c r="I26" i="1"/>
  <c r="I27" i="1"/>
  <c r="I29" i="1" s="1"/>
  <c r="I31" i="1" s="1"/>
  <c r="G45" i="1"/>
  <c r="H92" i="1"/>
  <c r="H37" i="1"/>
  <c r="L26" i="1"/>
  <c r="L27" i="1"/>
  <c r="L29" i="1" s="1"/>
  <c r="L31" i="1" s="1"/>
  <c r="J151" i="1"/>
  <c r="J25" i="1"/>
  <c r="J22" i="1"/>
  <c r="H27" i="1"/>
  <c r="H29" i="1" s="1"/>
  <c r="H31" i="1" s="1"/>
  <c r="H26" i="1"/>
  <c r="D5" i="4"/>
  <c r="D9" i="4" s="1"/>
  <c r="G99" i="1"/>
  <c r="G27" i="1"/>
  <c r="G29" i="1" s="1"/>
  <c r="G31" i="1" s="1"/>
  <c r="M27" i="1"/>
  <c r="M29" i="1" s="1"/>
  <c r="M31" i="1" s="1"/>
  <c r="M26" i="1"/>
  <c r="K13" i="7"/>
  <c r="K14" i="7"/>
  <c r="J3" i="4"/>
  <c r="F3" i="4"/>
  <c r="K26" i="1"/>
  <c r="K27" i="1"/>
  <c r="K29" i="1" s="1"/>
  <c r="K31" i="1" s="1"/>
  <c r="H3" i="4"/>
  <c r="I3" i="4"/>
  <c r="E3" i="4"/>
  <c r="D3" i="4"/>
  <c r="F151" i="1"/>
  <c r="G26" i="1"/>
  <c r="F22" i="1"/>
  <c r="G3" i="4" l="1"/>
  <c r="G33" i="1"/>
  <c r="G132" i="1"/>
  <c r="G136" i="1" s="1"/>
  <c r="D16" i="4"/>
  <c r="L12" i="7"/>
  <c r="K60" i="1"/>
  <c r="K39" i="1"/>
  <c r="K15" i="7"/>
  <c r="H8" i="4"/>
  <c r="K98" i="1"/>
  <c r="I32" i="1"/>
  <c r="I132" i="1"/>
  <c r="I136" i="1" s="1"/>
  <c r="I33" i="1"/>
  <c r="L32" i="1"/>
  <c r="L132" i="1"/>
  <c r="L136" i="1" s="1"/>
  <c r="H45" i="1"/>
  <c r="I92" i="1"/>
  <c r="I37" i="1"/>
  <c r="K132" i="1"/>
  <c r="K136" i="1" s="1"/>
  <c r="K33" i="1"/>
  <c r="H99" i="1"/>
  <c r="E5" i="4"/>
  <c r="E9" i="4" s="1"/>
  <c r="E16" i="4" s="1"/>
  <c r="H132" i="1"/>
  <c r="H136" i="1" s="1"/>
  <c r="H33" i="1"/>
  <c r="H32" i="1"/>
  <c r="F26" i="1"/>
  <c r="F27" i="1"/>
  <c r="F29" i="1" s="1"/>
  <c r="F31" i="1" s="1"/>
  <c r="G32" i="1" s="1"/>
  <c r="C3" i="4"/>
  <c r="C16" i="4" s="1"/>
  <c r="M132" i="1"/>
  <c r="M136" i="1" s="1"/>
  <c r="M32" i="1"/>
  <c r="J27" i="1"/>
  <c r="J29" i="1" s="1"/>
  <c r="J31" i="1" s="1"/>
  <c r="K32" i="1" s="1"/>
  <c r="J26" i="1"/>
  <c r="F132" i="1" l="1"/>
  <c r="F136" i="1" s="1"/>
  <c r="F32" i="1"/>
  <c r="F55" i="1"/>
  <c r="J132" i="1"/>
  <c r="J136" i="1" s="1"/>
  <c r="J33" i="1"/>
  <c r="J32" i="1"/>
  <c r="J92" i="1"/>
  <c r="J37" i="1" s="1"/>
  <c r="I45" i="1"/>
  <c r="I88" i="1"/>
  <c r="I154" i="1"/>
  <c r="I160" i="1"/>
  <c r="I155" i="1"/>
  <c r="L13" i="7"/>
  <c r="L14" i="7"/>
  <c r="K88" i="1"/>
  <c r="K154" i="1"/>
  <c r="K160" i="1"/>
  <c r="G88" i="1"/>
  <c r="G107" i="1" s="1"/>
  <c r="G117" i="1" s="1"/>
  <c r="G138" i="1" s="1"/>
  <c r="G160" i="1"/>
  <c r="G155" i="1"/>
  <c r="G154" i="1"/>
  <c r="H88" i="1"/>
  <c r="H107" i="1" s="1"/>
  <c r="H117" i="1" s="1"/>
  <c r="H138" i="1" s="1"/>
  <c r="H160" i="1"/>
  <c r="H155" i="1"/>
  <c r="H154" i="1"/>
  <c r="I99" i="1"/>
  <c r="I107" i="1" s="1"/>
  <c r="I117" i="1" s="1"/>
  <c r="I138" i="1" s="1"/>
  <c r="F5" i="4"/>
  <c r="F9" i="4" s="1"/>
  <c r="F16" i="4" s="1"/>
  <c r="F146" i="1" l="1"/>
  <c r="F149" i="1" s="1"/>
  <c r="F7" i="12"/>
  <c r="M2" i="4" s="1"/>
  <c r="F18" i="4" s="1"/>
  <c r="F61" i="1"/>
  <c r="F63" i="1" s="1"/>
  <c r="F73" i="1" s="1"/>
  <c r="F145" i="1" s="1"/>
  <c r="F148" i="1" s="1"/>
  <c r="G55" i="1"/>
  <c r="M12" i="7"/>
  <c r="L60" i="1"/>
  <c r="L39" i="1"/>
  <c r="L15" i="7"/>
  <c r="I8" i="4"/>
  <c r="L98" i="1"/>
  <c r="L33" i="1"/>
  <c r="J99" i="1"/>
  <c r="G5" i="4"/>
  <c r="G9" i="4" s="1"/>
  <c r="G16" i="4" s="1"/>
  <c r="J88" i="1"/>
  <c r="J154" i="1"/>
  <c r="J160" i="1"/>
  <c r="J155" i="1"/>
  <c r="K92" i="1"/>
  <c r="J45" i="1"/>
  <c r="K37" i="1"/>
  <c r="F88" i="1"/>
  <c r="F107" i="1" s="1"/>
  <c r="F117" i="1" s="1"/>
  <c r="F138" i="1" s="1"/>
  <c r="F140" i="1" s="1"/>
  <c r="F49" i="1" s="1"/>
  <c r="F160" i="1"/>
  <c r="F155" i="1"/>
  <c r="F162" i="1"/>
  <c r="F154" i="1"/>
  <c r="G18" i="4" l="1"/>
  <c r="F50" i="1"/>
  <c r="F51" i="1" s="1"/>
  <c r="G139" i="1"/>
  <c r="G140" i="1" s="1"/>
  <c r="G49" i="1" s="1"/>
  <c r="M13" i="7"/>
  <c r="M14" i="7" s="1"/>
  <c r="J107" i="1"/>
  <c r="J117" i="1" s="1"/>
  <c r="J138" i="1" s="1"/>
  <c r="L88" i="1"/>
  <c r="L154" i="1"/>
  <c r="L160" i="1"/>
  <c r="E18" i="4"/>
  <c r="D18" i="4"/>
  <c r="C18" i="4"/>
  <c r="K45" i="1"/>
  <c r="L92" i="1"/>
  <c r="L37" i="1"/>
  <c r="K99" i="1"/>
  <c r="K107" i="1" s="1"/>
  <c r="K117" i="1" s="1"/>
  <c r="K138" i="1" s="1"/>
  <c r="H5" i="4"/>
  <c r="H9" i="4" s="1"/>
  <c r="H16" i="4" s="1"/>
  <c r="H18" i="4" s="1"/>
  <c r="K155" i="1"/>
  <c r="G61" i="1"/>
  <c r="G63" i="1" s="1"/>
  <c r="G73" i="1" s="1"/>
  <c r="G145" i="1" s="1"/>
  <c r="G148" i="1" s="1"/>
  <c r="G161" i="1" s="1"/>
  <c r="G146" i="1"/>
  <c r="G149" i="1" s="1"/>
  <c r="G162" i="1" s="1"/>
  <c r="H55" i="1"/>
  <c r="L45" i="1" l="1"/>
  <c r="M92" i="1"/>
  <c r="M37" i="1"/>
  <c r="M45" i="1" s="1"/>
  <c r="L99" i="1"/>
  <c r="L107" i="1" s="1"/>
  <c r="L117" i="1" s="1"/>
  <c r="L138" i="1" s="1"/>
  <c r="I5" i="4"/>
  <c r="I9" i="4" s="1"/>
  <c r="I16" i="4" s="1"/>
  <c r="I18" i="4" s="1"/>
  <c r="H61" i="1"/>
  <c r="H63" i="1" s="1"/>
  <c r="H73" i="1" s="1"/>
  <c r="H145" i="1" s="1"/>
  <c r="H148" i="1" s="1"/>
  <c r="H161" i="1" s="1"/>
  <c r="H146" i="1"/>
  <c r="H149" i="1" s="1"/>
  <c r="H162" i="1" s="1"/>
  <c r="I55" i="1"/>
  <c r="M39" i="1"/>
  <c r="M60" i="1"/>
  <c r="J8" i="4"/>
  <c r="M98" i="1"/>
  <c r="M15" i="7"/>
  <c r="M33" i="1"/>
  <c r="L155" i="1"/>
  <c r="H139" i="1"/>
  <c r="H140" i="1" s="1"/>
  <c r="H49" i="1" s="1"/>
  <c r="G50" i="1"/>
  <c r="G51" i="1" s="1"/>
  <c r="F84" i="1"/>
  <c r="F163" i="1"/>
  <c r="M88" i="1" l="1"/>
  <c r="M160" i="1"/>
  <c r="M155" i="1"/>
  <c r="M154" i="1"/>
  <c r="M99" i="1"/>
  <c r="M107" i="1" s="1"/>
  <c r="M117" i="1" s="1"/>
  <c r="M138" i="1" s="1"/>
  <c r="J5" i="4"/>
  <c r="J9" i="4" s="1"/>
  <c r="J16" i="4" s="1"/>
  <c r="I139" i="1"/>
  <c r="I140" i="1" s="1"/>
  <c r="I49" i="1" s="1"/>
  <c r="H50" i="1"/>
  <c r="H51" i="1" s="1"/>
  <c r="I61" i="1"/>
  <c r="I63" i="1" s="1"/>
  <c r="I73" i="1" s="1"/>
  <c r="I145" i="1" s="1"/>
  <c r="I148" i="1" s="1"/>
  <c r="I161" i="1" s="1"/>
  <c r="I146" i="1"/>
  <c r="I149" i="1" s="1"/>
  <c r="I162" i="1" s="1"/>
  <c r="J55" i="1"/>
  <c r="G84" i="1"/>
  <c r="G163" i="1"/>
  <c r="K16" i="4" l="1"/>
  <c r="J17" i="4" s="1"/>
  <c r="J18" i="4" s="1"/>
  <c r="B20" i="4" s="1"/>
  <c r="J61" i="1"/>
  <c r="J63" i="1" s="1"/>
  <c r="J73" i="1" s="1"/>
  <c r="J145" i="1" s="1"/>
  <c r="J148" i="1" s="1"/>
  <c r="J161" i="1" s="1"/>
  <c r="J146" i="1"/>
  <c r="J149" i="1" s="1"/>
  <c r="J162" i="1" s="1"/>
  <c r="K55" i="1"/>
  <c r="H84" i="1"/>
  <c r="H163" i="1"/>
  <c r="I50" i="1"/>
  <c r="I51" i="1" s="1"/>
  <c r="J139" i="1"/>
  <c r="J140" i="1" s="1"/>
  <c r="J49" i="1" s="1"/>
  <c r="I84" i="1" l="1"/>
  <c r="I163" i="1"/>
  <c r="K61" i="1"/>
  <c r="K63" i="1" s="1"/>
  <c r="K73" i="1" s="1"/>
  <c r="K145" i="1" s="1"/>
  <c r="K148" i="1" s="1"/>
  <c r="K161" i="1" s="1"/>
  <c r="K146" i="1"/>
  <c r="K149" i="1" s="1"/>
  <c r="K162" i="1" s="1"/>
  <c r="L55" i="1"/>
  <c r="J50" i="1"/>
  <c r="J51" i="1" s="1"/>
  <c r="K139" i="1"/>
  <c r="K140" i="1" s="1"/>
  <c r="K49" i="1" s="1"/>
  <c r="L139" i="1" l="1"/>
  <c r="L140" i="1" s="1"/>
  <c r="L49" i="1" s="1"/>
  <c r="K50" i="1"/>
  <c r="K51" i="1" s="1"/>
  <c r="J84" i="1"/>
  <c r="J163" i="1"/>
  <c r="L61" i="1"/>
  <c r="L63" i="1" s="1"/>
  <c r="L73" i="1" s="1"/>
  <c r="L145" i="1" s="1"/>
  <c r="L148" i="1" s="1"/>
  <c r="L161" i="1" s="1"/>
  <c r="L146" i="1"/>
  <c r="L149" i="1" s="1"/>
  <c r="L162" i="1" s="1"/>
  <c r="M55" i="1"/>
  <c r="M146" i="1" l="1"/>
  <c r="M149" i="1" s="1"/>
  <c r="M162" i="1" s="1"/>
  <c r="M61" i="1"/>
  <c r="M63" i="1" s="1"/>
  <c r="M73" i="1" s="1"/>
  <c r="M145" i="1" s="1"/>
  <c r="M148" i="1" s="1"/>
  <c r="M161" i="1" s="1"/>
  <c r="K84" i="1"/>
  <c r="K163" i="1"/>
  <c r="L50" i="1"/>
  <c r="L51" i="1" s="1"/>
  <c r="M139" i="1"/>
  <c r="M140" i="1" s="1"/>
  <c r="M49" i="1" s="1"/>
  <c r="M50" i="1" s="1"/>
  <c r="M51" i="1" s="1"/>
  <c r="L84" i="1" l="1"/>
  <c r="L163" i="1"/>
  <c r="M163" i="1"/>
  <c r="M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Maaz Khan</author>
  </authors>
  <commentList>
    <comment ref="F11" authorId="0" shapeId="0" xr:uid="{0A09637E-FCEB-1447-A602-1BAF59878356}">
      <text>
        <r>
          <rPr>
            <b/>
            <sz val="10"/>
            <color rgb="FF000000"/>
            <rFont val="Tahoma"/>
            <family val="2"/>
          </rPr>
          <t>Maaz Khan: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to mature and grow with the GDP in the long run</t>
        </r>
      </text>
    </comment>
    <comment ref="F12" authorId="0" shapeId="0" xr:uid="{9F8D831A-F623-344B-ADD6-0EEC9CB6A0D3}">
      <text>
        <r>
          <rPr>
            <b/>
            <sz val="10"/>
            <color rgb="FF000000"/>
            <rFont val="Tahoma"/>
            <family val="2"/>
          </rPr>
          <t>Maaz Khan: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Falling in short term due to tariff uncertainty, but rising in long term to the mature market growth rate</t>
        </r>
      </text>
    </comment>
    <comment ref="F13" authorId="0" shapeId="0" xr:uid="{85D4A70D-54C6-004E-8E25-941E2F128481}">
      <text>
        <r>
          <rPr>
            <b/>
            <sz val="10"/>
            <color rgb="FF000000"/>
            <rFont val="Tahoma"/>
            <family val="2"/>
          </rPr>
          <t>Maaz Khan: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to stay at a high growth rate due to the largest population and most growing countries, lead by India and China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tc={F3052865-F2AA-5440-8F75-8FEA077CEFE9}</author>
    <author>tc={75F459A2-1E56-7A44-9D8D-5DBE505118EA}</author>
    <author>Maaz Khan</author>
  </authors>
  <commentList>
    <comment ref="F12" authorId="0" shapeId="0" xr:uid="{F3052865-F2AA-5440-8F75-8FEA077CEFE9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fluctuation, average is taken</t>
      </text>
    </comment>
    <comment ref="F14" authorId="1" shapeId="0" xr:uid="{75F459A2-1E56-7A44-9D8D-5DBE505118EA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fluctuation, average is taken</t>
      </text>
    </comment>
    <comment ref="F92" authorId="2" shapeId="0" xr:uid="{19775D29-A34E-2F47-BE96-1946D5369DC7}">
      <text>
        <r>
          <rPr>
            <b/>
            <sz val="10"/>
            <color rgb="FF000000"/>
            <rFont val="Tahoma"/>
            <family val="2"/>
          </rPr>
          <t>Maaz Khan: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- Assets are purchased at end of year</t>
        </r>
      </text>
    </comment>
    <comment ref="F124" authorId="2" shapeId="0" xr:uid="{98FF767F-80D1-FA41-96DC-D81124C12AB9}">
      <text>
        <r>
          <rPr>
            <b/>
            <sz val="10"/>
            <color rgb="FF000000"/>
            <rFont val="Tahoma"/>
            <family val="2"/>
          </rPr>
          <t>Maaz Khan: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Calculated in "CapEx Readjustments" Sheet</t>
        </r>
      </text>
    </comment>
    <comment ref="F135" authorId="2" shapeId="0" xr:uid="{0F8FE3A3-EB22-A94E-A57A-6E7C43F36FF8}">
      <text>
        <r>
          <rPr>
            <b/>
            <sz val="10"/>
            <color rgb="FF000000"/>
            <rFont val="Tahoma"/>
            <family val="2"/>
          </rPr>
          <t>Maaz Khan: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Assumption: Repayment of debt lease is set same as depreciation of leased asset
Also, No, need to adjust for Leased Assets as the company already includes that in its statements.</t>
        </r>
      </text>
    </comment>
    <comment ref="F144" authorId="2" shapeId="0" xr:uid="{E09A3759-1161-3540-BA08-2A71C7CC3DBC}">
      <text>
        <r>
          <rPr>
            <b/>
            <sz val="10"/>
            <color rgb="FF000000"/>
            <rFont val="Tahoma"/>
            <family val="2"/>
          </rPr>
          <t>Maaz Khan: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Assumed a Dividend payout ratio below the average payout previously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Maaz Khan</author>
  </authors>
  <commentList>
    <comment ref="F5" authorId="0" shapeId="0" xr:uid="{8313291B-9257-074E-A1EC-50EF80F847CD}">
      <text>
        <r>
          <rPr>
            <b/>
            <sz val="10"/>
            <color rgb="FF000000"/>
            <rFont val="Tahoma"/>
            <family val="2"/>
          </rPr>
          <t>Maaz Khan: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Normalizing Acquisition based on average of 4 year data as 5 year data was not available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<sst xmlns="http://schemas.openxmlformats.org/spreadsheetml/2006/main" count="751" uniqueCount="456">
  <si>
    <t>Net Revenues</t>
  </si>
  <si>
    <t>Gross Profit</t>
  </si>
  <si>
    <t>Distribution Expense</t>
  </si>
  <si>
    <t>Selling, General &amp; Administrative Expenses</t>
  </si>
  <si>
    <t>Operating Profit</t>
  </si>
  <si>
    <t>ASSETS</t>
  </si>
  <si>
    <t>Total non-current assets</t>
  </si>
  <si>
    <t>Inventories</t>
  </si>
  <si>
    <t>TOTAL ASSETS</t>
  </si>
  <si>
    <t>LIABILITIES</t>
  </si>
  <si>
    <t>Equity attributable to the Parent Company</t>
  </si>
  <si>
    <t>TOTAL LIABILITIES AND EQUITY</t>
  </si>
  <si>
    <t>Profit / (loss) attributable to the Parent Company</t>
  </si>
  <si>
    <t>Profit / (loss) attributable to non-controlling interests</t>
  </si>
  <si>
    <t>Elimination of expenses and income with no impact on cash flows:</t>
  </si>
  <si>
    <t>Depreciation and Amortization</t>
  </si>
  <si>
    <t>Net cash from operating activities (I)</t>
  </si>
  <si>
    <t>Cash flows from investing activities</t>
  </si>
  <si>
    <t>Purchases of property, plant and equipment and intangible</t>
  </si>
  <si>
    <t>CASH AND CASH EQUIVALENTS AT DECEMBER 31</t>
  </si>
  <si>
    <t>FY21</t>
  </si>
  <si>
    <t>FY22</t>
  </si>
  <si>
    <t>FY23</t>
  </si>
  <si>
    <t>FY24</t>
  </si>
  <si>
    <t>APAC</t>
  </si>
  <si>
    <t>EMEA</t>
  </si>
  <si>
    <t>Americas</t>
  </si>
  <si>
    <t>ROE</t>
  </si>
  <si>
    <t>ROIC</t>
  </si>
  <si>
    <t>Tax Rate</t>
  </si>
  <si>
    <t>Bloomberg</t>
  </si>
  <si>
    <t>Tax rate</t>
  </si>
  <si>
    <t>Source - Beta</t>
  </si>
  <si>
    <t>Source - Financials</t>
  </si>
  <si>
    <t>Yahoo Finance</t>
  </si>
  <si>
    <t>ELF Beauty Inc</t>
  </si>
  <si>
    <t>Revenue</t>
  </si>
  <si>
    <t>Change in Revenue %</t>
  </si>
  <si>
    <t>Beta</t>
  </si>
  <si>
    <t>Market Cap</t>
  </si>
  <si>
    <t>Debt</t>
  </si>
  <si>
    <t>Cash</t>
  </si>
  <si>
    <t>Proya Cosmetics</t>
  </si>
  <si>
    <t>Currency</t>
  </si>
  <si>
    <t>CNY</t>
  </si>
  <si>
    <t>Coty INC CLA</t>
  </si>
  <si>
    <t>Operating Income</t>
  </si>
  <si>
    <t>Market CAP</t>
  </si>
  <si>
    <t>Interparfums US</t>
  </si>
  <si>
    <t>Kose Corporation</t>
  </si>
  <si>
    <t>LVMH</t>
  </si>
  <si>
    <t>Change in Operating Income %</t>
  </si>
  <si>
    <t>% Change Operating Profit</t>
  </si>
  <si>
    <t>% Change Revenue</t>
  </si>
  <si>
    <t>% Change Operating Income</t>
  </si>
  <si>
    <t>% Change in Operating Income</t>
  </si>
  <si>
    <t>% Change in Revenue</t>
  </si>
  <si>
    <t>Estee Lauder</t>
  </si>
  <si>
    <t>Unlevered Beta</t>
  </si>
  <si>
    <t>Business Beta</t>
  </si>
  <si>
    <t>Operating Asset Beta</t>
  </si>
  <si>
    <t>Operating Leverage</t>
  </si>
  <si>
    <t>Puig Brands, SA</t>
  </si>
  <si>
    <t>Puig Beta Calculations</t>
  </si>
  <si>
    <t>Levered Beta for Puig</t>
  </si>
  <si>
    <t>Puig Total Revenue</t>
  </si>
  <si>
    <t>Revenues by Geography</t>
  </si>
  <si>
    <t>% YOY Growth</t>
  </si>
  <si>
    <t>FY25E</t>
  </si>
  <si>
    <t>FY26E</t>
  </si>
  <si>
    <t>FY27E</t>
  </si>
  <si>
    <t>FY28E</t>
  </si>
  <si>
    <t>FY29E</t>
  </si>
  <si>
    <t>FY30E</t>
  </si>
  <si>
    <t>FY31E</t>
  </si>
  <si>
    <t>FY32E</t>
  </si>
  <si>
    <t>% Change</t>
  </si>
  <si>
    <t>% of Revenue</t>
  </si>
  <si>
    <t>Less: Cost of Sales</t>
  </si>
  <si>
    <t>Less:</t>
  </si>
  <si>
    <t>Total Expenditure except Cost of Sales</t>
  </si>
  <si>
    <t>Effective Tax Rate</t>
  </si>
  <si>
    <t>Balance Sheet Check</t>
  </si>
  <si>
    <t>R&amp;D Expense</t>
  </si>
  <si>
    <t>Assumed Life (in Years)</t>
  </si>
  <si>
    <t>Amortization</t>
  </si>
  <si>
    <t>Acquisitions Normalization</t>
  </si>
  <si>
    <t>Acquisition Expense</t>
  </si>
  <si>
    <t>Depreciation and impairment of property, plant and equipment</t>
  </si>
  <si>
    <t>Depreciation and impairment of intangible assets</t>
  </si>
  <si>
    <t>Depreciation and impairment of right-of-use assets</t>
  </si>
  <si>
    <t>Amortization %</t>
  </si>
  <si>
    <t>Amortization of Acquisition</t>
  </si>
  <si>
    <t>% of revenue</t>
  </si>
  <si>
    <t>Dividend Payout Ratio</t>
  </si>
  <si>
    <t>% of Property, Plants and Equipments</t>
  </si>
  <si>
    <t>% of intangible assets</t>
  </si>
  <si>
    <t>% of right-of-use assets</t>
  </si>
  <si>
    <t>Turnover Ratios in days</t>
  </si>
  <si>
    <t>Inventory in days</t>
  </si>
  <si>
    <t>Debtor days</t>
  </si>
  <si>
    <t>Other Current Assets</t>
  </si>
  <si>
    <t>Less: Change in Trade Receivables</t>
  </si>
  <si>
    <t>Less: Change in Other Current Assets</t>
  </si>
  <si>
    <t>Add: Change in Current Bank Borrowings</t>
  </si>
  <si>
    <t>Add: Change in Trade Accounts Payable</t>
  </si>
  <si>
    <t>Add: Change in Other Current Liabilities</t>
  </si>
  <si>
    <t>Add: Change in Income Tax Liability</t>
  </si>
  <si>
    <t>Net Adjusted Working Capital</t>
  </si>
  <si>
    <t>Total Depreciation and amortization</t>
  </si>
  <si>
    <t>Advertising &amp; Promotion Expenses</t>
  </si>
  <si>
    <t>Other Operational Income and Expenses</t>
  </si>
  <si>
    <t>Operational Profit</t>
  </si>
  <si>
    <t>Financial Result</t>
  </si>
  <si>
    <t>Less: Income Tax</t>
  </si>
  <si>
    <t xml:space="preserve">Property, Plant, and Equipment </t>
  </si>
  <si>
    <t>Intangible Assets</t>
  </si>
  <si>
    <t>Right-of-use Assets</t>
  </si>
  <si>
    <t>Investments in Associates and Joint Ventures</t>
  </si>
  <si>
    <t>Financial Investments</t>
  </si>
  <si>
    <t>Other Non-current Assets</t>
  </si>
  <si>
    <t>Deferred Tax Assets</t>
  </si>
  <si>
    <t>Trade Accounts Receivable</t>
  </si>
  <si>
    <t>Cash and Cash Equivalents</t>
  </si>
  <si>
    <t>Total Current Assets</t>
  </si>
  <si>
    <t>Share Capital</t>
  </si>
  <si>
    <t>Reserves and Retained Earnings</t>
  </si>
  <si>
    <t>Unrealized Gains (losses) Reserve</t>
  </si>
  <si>
    <t>Treasury Shares</t>
  </si>
  <si>
    <t>Interim Dividend</t>
  </si>
  <si>
    <t>Cumulative Translation Adjustment</t>
  </si>
  <si>
    <t>Non-controlling Interests</t>
  </si>
  <si>
    <t>Total Equity</t>
  </si>
  <si>
    <t>Non-current Bank Borrowings</t>
  </si>
  <si>
    <t>Deferred Tax Liabilities</t>
  </si>
  <si>
    <t>Provisions and Other Liabilities</t>
  </si>
  <si>
    <t>Total Non-current Liabilities</t>
  </si>
  <si>
    <t>Current Bank Borrowings</t>
  </si>
  <si>
    <t>Trade Accounts Payable</t>
  </si>
  <si>
    <t>Other Current Liabilities</t>
  </si>
  <si>
    <t>Income Tax</t>
  </si>
  <si>
    <t>Total Current Liabilities</t>
  </si>
  <si>
    <t xml:space="preserve">Cash Flows from Operating activities </t>
  </si>
  <si>
    <t>R&amp;D Asset Adjustment</t>
  </si>
  <si>
    <t>R&amp;D Asset</t>
  </si>
  <si>
    <t>Amortization of R&amp;D Asset</t>
  </si>
  <si>
    <t>Net of R&amp;D Expense and amortization</t>
  </si>
  <si>
    <t>Adjusted Net Profit</t>
  </si>
  <si>
    <t>Capex</t>
  </si>
  <si>
    <t>Discount Rate</t>
  </si>
  <si>
    <t>EPS</t>
  </si>
  <si>
    <t>ROE Estimated</t>
  </si>
  <si>
    <t>Growth</t>
  </si>
  <si>
    <t>Terminal Value</t>
  </si>
  <si>
    <t>NPV</t>
  </si>
  <si>
    <t>Index Value</t>
  </si>
  <si>
    <t>Measure</t>
  </si>
  <si>
    <t>Earnings Per Share</t>
  </si>
  <si>
    <t>Book Value Per Share</t>
  </si>
  <si>
    <t>Government Bond Yield</t>
  </si>
  <si>
    <t>Source: https://www.investing.com/rates-bonds/germany-10-year-bond-yield</t>
  </si>
  <si>
    <t>ROE is estimated</t>
  </si>
  <si>
    <t>Equity Reinvestment rate</t>
  </si>
  <si>
    <t>FCFE</t>
  </si>
  <si>
    <t>Cash flow</t>
  </si>
  <si>
    <t>Present value of future FCFE</t>
  </si>
  <si>
    <t>Rm</t>
  </si>
  <si>
    <t>MMRP</t>
  </si>
  <si>
    <t>Country</t>
  </si>
  <si>
    <t>Country Risk Premium</t>
  </si>
  <si>
    <t>GDP Weight</t>
  </si>
  <si>
    <t>Angola</t>
  </si>
  <si>
    <t>Benin</t>
  </si>
  <si>
    <t>Botswana</t>
  </si>
  <si>
    <t>Burkina Faso</t>
  </si>
  <si>
    <t>Cameroon</t>
  </si>
  <si>
    <t>Cape Verde</t>
  </si>
  <si>
    <t>Congo (Democratic Republic of)</t>
  </si>
  <si>
    <t>Congo (Republic of)</t>
  </si>
  <si>
    <t>Côte d'Ivoire</t>
  </si>
  <si>
    <t>Egypt</t>
  </si>
  <si>
    <t>Ethiopia</t>
  </si>
  <si>
    <t>Gabon</t>
  </si>
  <si>
    <t>Ghana</t>
  </si>
  <si>
    <t>Kenya</t>
  </si>
  <si>
    <t>Mali</t>
  </si>
  <si>
    <t>Mauritius</t>
  </si>
  <si>
    <t>Morocco</t>
  </si>
  <si>
    <t>Mozambique</t>
  </si>
  <si>
    <t>Namibia</t>
  </si>
  <si>
    <t>Niger</t>
  </si>
  <si>
    <t>Nigeria</t>
  </si>
  <si>
    <t>Rwanda</t>
  </si>
  <si>
    <t>Senegal</t>
  </si>
  <si>
    <t>South Africa</t>
  </si>
  <si>
    <t>Swaziland</t>
  </si>
  <si>
    <t>Tanzania</t>
  </si>
  <si>
    <t>Togo</t>
  </si>
  <si>
    <t>Tunisia</t>
  </si>
  <si>
    <t>Uganda</t>
  </si>
  <si>
    <t>Zambia</t>
  </si>
  <si>
    <t>Africa</t>
  </si>
  <si>
    <t>Bangladesh</t>
  </si>
  <si>
    <t>Cambodia</t>
  </si>
  <si>
    <t>China</t>
  </si>
  <si>
    <t>Fiji</t>
  </si>
  <si>
    <t>Hong Kong</t>
  </si>
  <si>
    <t>India</t>
  </si>
  <si>
    <t>Indonesia</t>
  </si>
  <si>
    <t>Japan</t>
  </si>
  <si>
    <t>Korea</t>
  </si>
  <si>
    <t>Laos</t>
  </si>
  <si>
    <t>Macao</t>
  </si>
  <si>
    <t>Malaysia</t>
  </si>
  <si>
    <t>Maldives</t>
  </si>
  <si>
    <t>Mongolia</t>
  </si>
  <si>
    <t>Nepal</t>
  </si>
  <si>
    <t>Pakistan</t>
  </si>
  <si>
    <t>Papua New Guinea</t>
  </si>
  <si>
    <t>Philippines</t>
  </si>
  <si>
    <t>Singapore</t>
  </si>
  <si>
    <t>Solomon Islands</t>
  </si>
  <si>
    <t>Sri Lanka</t>
  </si>
  <si>
    <t>Taiwan</t>
  </si>
  <si>
    <t>Thailand</t>
  </si>
  <si>
    <t>Vietnam</t>
  </si>
  <si>
    <t>Asia</t>
  </si>
  <si>
    <t>Australia</t>
  </si>
  <si>
    <t>Cook Islands</t>
  </si>
  <si>
    <t>New Zealand</t>
  </si>
  <si>
    <t>Australia &amp; New Zealand</t>
  </si>
  <si>
    <t>Aruba</t>
  </si>
  <si>
    <t>Bahamas</t>
  </si>
  <si>
    <t>Barbados</t>
  </si>
  <si>
    <t>Bermuda</t>
  </si>
  <si>
    <t>Cayman Islands</t>
  </si>
  <si>
    <t>Cuba</t>
  </si>
  <si>
    <t>Curacao</t>
  </si>
  <si>
    <t>Dominican Republic</t>
  </si>
  <si>
    <t>Jamaica</t>
  </si>
  <si>
    <t>Montserrat</t>
  </si>
  <si>
    <t>St. Maarten</t>
  </si>
  <si>
    <t>St. Vincent &amp; the Grenadines</t>
  </si>
  <si>
    <t>Trinidad and Tobago</t>
  </si>
  <si>
    <t>Turks and Caicos Islands</t>
  </si>
  <si>
    <t>Caribbean</t>
  </si>
  <si>
    <t>Argentina</t>
  </si>
  <si>
    <t>Belize</t>
  </si>
  <si>
    <t>Bolivia</t>
  </si>
  <si>
    <t>Brazil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</si>
  <si>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</si>
  <si>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</si>
  <si>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</si>
  <si>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</si>
  <si>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</si>
  <si>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</si>
  <si>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</si>
  <si>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</si>
  <si>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</si>
  <si>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</si>
  <si>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</si>
  <si>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</si>
  <si>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Suriname</t>
  </si>
  <si>
    <t>Uruguay</t>
  </si>
  <si>
    <t>Venezuela</t>
  </si>
  <si>
    <t>Central and South America</t>
  </si>
  <si>
    <t>Albania</t>
  </si>
  <si>
    <t>Armenia</t>
  </si>
  <si>
    <t>Azerbaijan</t>
  </si>
  <si>
    <t>Belarus</t>
  </si>
  <si>
    <t>Bosnia and Herzegovina</t>
  </si>
  <si>
    <t>Bulgaria</t>
  </si>
  <si>
    <t>Croatia</t>
  </si>
  <si>
    <t>Czech Republic</t>
  </si>
  <si>
    <t>Estonia</t>
  </si>
  <si>
    <t>Georgia</t>
  </si>
  <si>
    <t>Hungary</t>
  </si>
  <si>
    <t>Kazakhstan</t>
  </si>
  <si>
    <t>Kyrgyzstan</t>
  </si>
  <si>
    <t>Latvia</t>
  </si>
  <si>
    <t>Lithuania</t>
  </si>
  <si>
    <t>Macedonia</t>
  </si>
  <si>
    <t>Moldova</t>
  </si>
  <si>
    <t>Montenegro</t>
  </si>
  <si>
    <t>Poland</t>
  </si>
  <si>
    <t>Romania</t>
  </si>
  <si>
    <t>Serbia</t>
  </si>
  <si>
    <t>Slovakia</t>
  </si>
  <si>
    <t>Slovenia</t>
  </si>
  <si>
    <t>Tajikistan</t>
  </si>
  <si>
    <t>Ukraine</t>
  </si>
  <si>
    <t>Uzbekistan</t>
  </si>
  <si>
    <t>Eastern Europe</t>
  </si>
  <si>
    <t>Abu Dhabi</t>
  </si>
  <si>
    <t>Bahrain</t>
  </si>
  <si>
    <t>Iraq</t>
  </si>
  <si>
    <t>Israel</t>
  </si>
  <si>
    <t>Jordan</t>
  </si>
  <si>
    <t>Kuwait</t>
  </si>
  <si>
    <t>Lebanon</t>
  </si>
  <si>
    <t>Oman</t>
  </si>
  <si>
    <t>Qatar</t>
  </si>
  <si>
    <t>Ras Al Khaimah (Emirate of)</t>
  </si>
  <si>
    <t>Saudi Arabia</t>
  </si>
  <si>
    <t>Sharjah</t>
  </si>
  <si>
    <t>United Arab Emirates</t>
  </si>
  <si>
    <t>Middle East</t>
  </si>
  <si>
    <t>Canada</t>
  </si>
  <si>
    <t>United States</t>
  </si>
  <si>
    <t>North America</t>
  </si>
  <si>
    <t>Andorra (Principality of)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</si>
  <si>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</si>
  <si>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</si>
  <si>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</si>
  <si>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</si>
  <si>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</si>
  <si>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</si>
  <si>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</si>
  <si>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</si>
  <si>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Guernsey (States of)</t>
  </si>
  <si>
    <t>Iceland</t>
  </si>
  <si>
    <t>Ireland</t>
  </si>
  <si>
    <t>Isle of Man</t>
  </si>
  <si>
    <t>Italy</t>
  </si>
  <si>
    <t>Jersey (States of)</t>
  </si>
  <si>
    <t>Liechtenstein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</si>
  <si>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</si>
  <si>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</si>
  <si>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</si>
  <si>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</si>
  <si>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</si>
  <si>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</si>
  <si>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</si>
  <si>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</si>
  <si>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Turkey</t>
  </si>
  <si>
    <t>United Kingdom</t>
  </si>
  <si>
    <t>Western Europe</t>
  </si>
  <si>
    <t>Region</t>
  </si>
  <si>
    <t>Weighted Average: ERP</t>
  </si>
  <si>
    <t>Total GDP</t>
  </si>
  <si>
    <t>Weight*CRP</t>
  </si>
  <si>
    <t>Global</t>
  </si>
  <si>
    <t>ERP</t>
  </si>
  <si>
    <t>Africa &amp; Mid East</t>
  </si>
  <si>
    <t>Australia, NZ &amp; Canada</t>
  </si>
  <si>
    <t>Latin America &amp; Caribbean</t>
  </si>
  <si>
    <t>US</t>
  </si>
  <si>
    <t>Europe</t>
  </si>
  <si>
    <t>Emerging Markets</t>
  </si>
  <si>
    <t>Small Asia (No India, China &amp; Japan)</t>
  </si>
  <si>
    <t>GDP</t>
  </si>
  <si>
    <t>Exports</t>
  </si>
  <si>
    <t>Exports to GDP Ratio</t>
  </si>
  <si>
    <t>Average Domestic Consumption</t>
  </si>
  <si>
    <t>Puig Regional Revenue %</t>
  </si>
  <si>
    <t>CRP</t>
  </si>
  <si>
    <t>Weight of GDP</t>
  </si>
  <si>
    <t>CRP * Weight</t>
  </si>
  <si>
    <t>Lambda</t>
  </si>
  <si>
    <t>Spain Risk-free Rate</t>
  </si>
  <si>
    <t>Germany 10 Year Bund Yield</t>
  </si>
  <si>
    <t>Adjusted default spread</t>
  </si>
  <si>
    <t>Moody's Rating</t>
  </si>
  <si>
    <t>Baa1</t>
  </si>
  <si>
    <t>Associated Adjusted default spread</t>
  </si>
  <si>
    <t>Risk-free Rate</t>
  </si>
  <si>
    <t>Source: https://pages.stern.nyu.edu/~adamodar/New_Home_Page/datafile/ctryprem.html</t>
  </si>
  <si>
    <t>Cost of Equity</t>
  </si>
  <si>
    <t>Rf</t>
  </si>
  <si>
    <t>EMEA Lambda</t>
  </si>
  <si>
    <t>EMEA CRP</t>
  </si>
  <si>
    <t>APAC Lambda</t>
  </si>
  <si>
    <t>APAC CRP</t>
  </si>
  <si>
    <t>Americas Lambda</t>
  </si>
  <si>
    <t>Americas CRP</t>
  </si>
  <si>
    <t>Cost of Equity Calculation</t>
  </si>
  <si>
    <t>Cost of Debt</t>
  </si>
  <si>
    <t>EBIT</t>
  </si>
  <si>
    <t>Associated Default risk</t>
  </si>
  <si>
    <t>source: https://pages.stern.nyu.edu/~adamodar/New_Home_Page/datafile/ratings.html</t>
  </si>
  <si>
    <t>Equity</t>
  </si>
  <si>
    <t>D+E</t>
  </si>
  <si>
    <t>Wacc</t>
  </si>
  <si>
    <t xml:space="preserve"> </t>
  </si>
  <si>
    <t>Ratios</t>
  </si>
  <si>
    <t>Capital Employed</t>
  </si>
  <si>
    <t>Average Capital Employed</t>
  </si>
  <si>
    <t>Average Total Equity</t>
  </si>
  <si>
    <t>Average Debt</t>
  </si>
  <si>
    <t>Per Share Ratio</t>
  </si>
  <si>
    <t>Cash EPS</t>
  </si>
  <si>
    <t>Share Face Value</t>
  </si>
  <si>
    <t>Profitability Ratios</t>
  </si>
  <si>
    <t>EBITDA Margin</t>
  </si>
  <si>
    <t>Net Profit Margin</t>
  </si>
  <si>
    <t>ROA</t>
  </si>
  <si>
    <t>Add: Depreciation</t>
  </si>
  <si>
    <t>Depreciation of Tangible Assets</t>
  </si>
  <si>
    <t>Depreciation of Intangible Assets</t>
  </si>
  <si>
    <t>Depreciation of Rights-of-Use Assets</t>
  </si>
  <si>
    <t>Total Depreciation</t>
  </si>
  <si>
    <t>Less: Capital Expenditure</t>
  </si>
  <si>
    <t>Puchase of Property, Plant &amp; Equipment</t>
  </si>
  <si>
    <t>Business Combinations</t>
  </si>
  <si>
    <t>Repayment of Lease Debt</t>
  </si>
  <si>
    <t>EBIT * (1-t)</t>
  </si>
  <si>
    <t>Investment in R&amp;D Asset</t>
  </si>
  <si>
    <t>Total Capital Expenditure</t>
  </si>
  <si>
    <t>WACC</t>
  </si>
  <si>
    <t>FY 24</t>
  </si>
  <si>
    <t>Long Term Growth Rate</t>
  </si>
  <si>
    <t>Value of Operating Assets</t>
  </si>
  <si>
    <t>Calculations</t>
  </si>
  <si>
    <t>Historical Data</t>
  </si>
  <si>
    <t>Assumptions</t>
  </si>
  <si>
    <t>% Share per Geography</t>
  </si>
  <si>
    <t>Revenue Growth %</t>
  </si>
  <si>
    <t>Less: Change in Non-Cash WC</t>
  </si>
  <si>
    <t>Capital Increases</t>
  </si>
  <si>
    <t>Dividends Paid</t>
  </si>
  <si>
    <t>Issuance Bank Borrowings</t>
  </si>
  <si>
    <t>Repayment Bank Borrowings and Interests</t>
  </si>
  <si>
    <t>Net Cash from Financing Activities (III)</t>
  </si>
  <si>
    <t>Net Effect of Changes in Exchange Rates (IV)</t>
  </si>
  <si>
    <t>Change in Cash and Cash Equivalents (I+II+III+IV)</t>
  </si>
  <si>
    <t>Cash and Cash Equivalents at Beginning of the Year</t>
  </si>
  <si>
    <t>Disposals of Property, Plant and Equipment and Intangible</t>
  </si>
  <si>
    <t>Dividends Received</t>
  </si>
  <si>
    <t>Changes in Other Financial Assets</t>
  </si>
  <si>
    <t>Business Combinations (Net of Cash)</t>
  </si>
  <si>
    <t>Acquisition Non-Controlling Interests</t>
  </si>
  <si>
    <t>Loans Issued to Related Parties (Net)</t>
  </si>
  <si>
    <t>Net Cash from Investing Activities (II)</t>
  </si>
  <si>
    <t>Cash Flows from Financing Activities</t>
  </si>
  <si>
    <t>Deferred Tax Expense / Income</t>
  </si>
  <si>
    <t>Other Financial Income / Expenses</t>
  </si>
  <si>
    <t>Financial Expenses</t>
  </si>
  <si>
    <t>Other Adjustments</t>
  </si>
  <si>
    <t>Capital Gains and Losses on Disposals of Assets</t>
  </si>
  <si>
    <t>Other Non-Current Assets and Liabilities</t>
  </si>
  <si>
    <t>Profit / (Loss) from Associates and Joint Ventures</t>
  </si>
  <si>
    <t>Gross Cash Flow</t>
  </si>
  <si>
    <t>Changes in Working Capital</t>
  </si>
  <si>
    <t>Less: Change in Inventories</t>
  </si>
  <si>
    <t>Result from Associates and Joint Ventures and Impairment of Financial Assets</t>
  </si>
  <si>
    <t xml:space="preserve">Profit Before Tax </t>
  </si>
  <si>
    <t>Net Profit for the Year</t>
  </si>
  <si>
    <t xml:space="preserve">Less: Non-Controlling Interests </t>
  </si>
  <si>
    <t>Net Profit Attributable to the Parent Company</t>
  </si>
  <si>
    <t>Unamortized at End of Year</t>
  </si>
  <si>
    <t>Unamortized at Beginning of 0</t>
  </si>
  <si>
    <t>GDP (in Millions)</t>
  </si>
  <si>
    <t>All figures in millions</t>
  </si>
  <si>
    <t>All figures in million euros</t>
  </si>
  <si>
    <t>FCFF</t>
  </si>
  <si>
    <t>PV of FCFF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</si>
</sst>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0.0%"/>
    <numFmt numFmtId="165" formatCode="0.0000000%"/>
    <numFmt numFmtId="166" formatCode="_-* #,##0.00\ [$€-C0A]_-;\-* #,##0.00\ [$€-C0A]_-;_-* &quot;-&quot;??\ [$€-C0A]_-;_-@_-"/>
  </numFmts>
  <fonts count="37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sz val="12"/>
      <color theme="1"/>
      <name val="Helvetica Neue"/>
      <family val="2"/>
    </font>
    <font>
      <sz val="12"/>
      <color theme="1"/>
      <name val="Helvetica Neue"/>
      <family val="2"/>
    </font>
    <font>
      <sz val="12"/>
      <color rgb="FFFF000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5" tint="-0.249977111117893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sz val="12"/>
      <color theme="5" tint="-0.249977111117893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Aptos Narrow"/>
      <scheme val="minor"/>
    </font>
    <font>
      <sz val="12"/>
      <color theme="5" tint="-0.249977111117893"/>
      <name val="Aptos Narrow"/>
      <scheme val="minor"/>
    </font>
    <font>
      <sz val="12"/>
      <color rgb="FF0070C0"/>
      <name val="Aptos Narrow"/>
      <scheme val="minor"/>
    </font>
    <font>
      <sz val="12"/>
      <color rgb="FFFF0000"/>
      <name val="Arial"/>
      <family val="2"/>
    </font>
    <font>
      <b/>
      <sz val="11"/>
      <color theme="1"/>
      <name val="Aptos Narrow"/>
      <scheme val="minor"/>
    </font>
    <font>
      <sz val="12"/>
      <color theme="1"/>
      <name val="Arial"/>
      <family val="2"/>
    </font>
    <font>
      <b/>
      <sz val="11"/>
      <color rgb="FF00B0F0"/>
      <name val="Aptos Narrow"/>
      <scheme val="minor"/>
    </font>
    <font>
      <b/>
      <sz val="11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0070C0"/>
      <name val="Aptos Narrow"/>
      <scheme val="minor"/>
    </font>
    <font>
      <sz val="11"/>
      <color theme="5" tint="-0.249977111117893"/>
      <name val="Aptos Narrow"/>
      <scheme val="minor"/>
    </font>
    <font>
      <sz val="12"/>
      <name val="Times"/>
      <family val="1"/>
    </font>
    <font>
      <b/>
      <sz val="12"/>
      <name val="Aptos Narrow"/>
      <family val="2"/>
      <scheme val="minor"/>
    </font>
    <font>
      <i/>
      <sz val="9"/>
      <name val="Geneva"/>
      <family val="2"/>
      <charset val="1"/>
    </font>
    <font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B050"/>
      <name val="Aptos Narrow"/>
      <scheme val="minor"/>
    </font>
    <font>
      <sz val="11"/>
      <color theme="5" tint="-0.249977111117893"/>
      <name val="Times New Roman"/>
      <family val="1"/>
    </font>
    <font>
      <sz val="8"/>
      <color theme="5" tint="-0.249977111117893"/>
      <name val="Helvetica"/>
      <family val="2"/>
    </font>
    <font>
      <b/>
      <i/>
      <sz val="12"/>
      <name val="Times"/>
    </font>
    <font>
      <b/>
      <sz val="12"/>
      <name val="Times"/>
    </font>
    <font>
      <b/>
      <i/>
      <sz val="12"/>
      <name val="Times"/>
      <family val="1"/>
    </font>
    <font>
      <b/>
      <sz val="12"/>
      <name val="Times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3" fontId="0" fillId="0" borderId="0" xfId="0" applyNumberFormat="1"/>
    <xf numFmtId="43" fontId="0" fillId="0" borderId="0" xfId="0" applyNumberFormat="1"/>
    <xf numFmtId="10" fontId="0" fillId="0" borderId="0" xfId="0" applyNumberFormat="1"/>
    <xf numFmtId="0" fontId="1" fillId="0" borderId="0" xfId="0" applyFont="1"/>
    <xf numFmtId="3" fontId="5" fillId="0" borderId="0" xfId="0" applyNumberFormat="1" applyFont="1"/>
    <xf numFmtId="10" fontId="5" fillId="0" borderId="0" xfId="0" applyNumberFormat="1" applyFont="1"/>
    <xf numFmtId="4" fontId="5" fillId="0" borderId="0" xfId="0" applyNumberFormat="1" applyFont="1"/>
    <xf numFmtId="0" fontId="4" fillId="0" borderId="0" xfId="0" applyFont="1"/>
    <xf numFmtId="9" fontId="0" fillId="0" borderId="0" xfId="0" applyNumberFormat="1"/>
    <xf numFmtId="2" fontId="5" fillId="0" borderId="0" xfId="0" applyNumberFormat="1" applyFont="1"/>
    <xf numFmtId="2" fontId="0" fillId="0" borderId="0" xfId="0" applyNumberFormat="1"/>
    <xf numFmtId="44" fontId="0" fillId="0" borderId="0" xfId="0" applyNumberFormat="1"/>
    <xf numFmtId="43" fontId="9" fillId="0" borderId="0" xfId="0" applyNumberFormat="1" applyFont="1"/>
    <xf numFmtId="10" fontId="9" fillId="0" borderId="0" xfId="0" applyNumberFormat="1" applyFont="1"/>
    <xf numFmtId="0" fontId="2" fillId="0" borderId="0" xfId="0" applyFont="1" applyAlignment="1">
      <alignment wrapText="1"/>
    </xf>
    <xf numFmtId="43" fontId="11" fillId="0" borderId="0" xfId="0" applyNumberFormat="1" applyFont="1"/>
    <xf numFmtId="43" fontId="1" fillId="0" borderId="0" xfId="0" applyNumberFormat="1" applyFont="1"/>
    <xf numFmtId="0" fontId="1" fillId="2" borderId="0" xfId="0" applyFont="1" applyFill="1"/>
    <xf numFmtId="44" fontId="9" fillId="0" borderId="0" xfId="0" applyNumberFormat="1" applyFont="1"/>
    <xf numFmtId="44" fontId="14" fillId="0" borderId="0" xfId="0" applyNumberFormat="1" applyFont="1"/>
    <xf numFmtId="43" fontId="14" fillId="0" borderId="0" xfId="0" applyNumberFormat="1" applyFont="1"/>
    <xf numFmtId="0" fontId="14" fillId="0" borderId="0" xfId="0" applyFont="1"/>
    <xf numFmtId="0" fontId="1" fillId="3" borderId="0" xfId="0" applyFont="1" applyFill="1" applyAlignment="1">
      <alignment wrapText="1"/>
    </xf>
    <xf numFmtId="43" fontId="11" fillId="3" borderId="0" xfId="0" applyNumberFormat="1" applyFont="1" applyFill="1"/>
    <xf numFmtId="43" fontId="1" fillId="3" borderId="0" xfId="0" applyNumberFormat="1" applyFont="1" applyFill="1"/>
    <xf numFmtId="0" fontId="1" fillId="3" borderId="0" xfId="0" applyFont="1" applyFill="1"/>
    <xf numFmtId="0" fontId="0" fillId="4" borderId="0" xfId="0" applyFill="1" applyAlignment="1">
      <alignment wrapText="1"/>
    </xf>
    <xf numFmtId="43" fontId="9" fillId="4" borderId="0" xfId="0" applyNumberFormat="1" applyFont="1" applyFill="1"/>
    <xf numFmtId="43" fontId="0" fillId="4" borderId="0" xfId="0" applyNumberFormat="1" applyFill="1"/>
    <xf numFmtId="0" fontId="0" fillId="4" borderId="0" xfId="0" applyFill="1"/>
    <xf numFmtId="10" fontId="14" fillId="0" borderId="0" xfId="0" applyNumberFormat="1" applyFont="1"/>
    <xf numFmtId="43" fontId="14" fillId="4" borderId="0" xfId="0" applyNumberFormat="1" applyFont="1" applyFill="1"/>
    <xf numFmtId="2" fontId="0" fillId="4" borderId="0" xfId="0" applyNumberFormat="1" applyFill="1"/>
    <xf numFmtId="0" fontId="6" fillId="0" borderId="0" xfId="0" applyFont="1"/>
    <xf numFmtId="10" fontId="17" fillId="0" borderId="0" xfId="0" applyNumberFormat="1" applyFont="1"/>
    <xf numFmtId="10" fontId="19" fillId="0" borderId="0" xfId="0" applyNumberFormat="1" applyFont="1"/>
    <xf numFmtId="0" fontId="18" fillId="0" borderId="0" xfId="0" applyFont="1"/>
    <xf numFmtId="10" fontId="18" fillId="0" borderId="0" xfId="0" applyNumberFormat="1" applyFont="1"/>
    <xf numFmtId="10" fontId="20" fillId="0" borderId="0" xfId="0" applyNumberFormat="1" applyFont="1"/>
    <xf numFmtId="10" fontId="21" fillId="0" borderId="0" xfId="0" applyNumberFormat="1" applyFont="1"/>
    <xf numFmtId="0" fontId="22" fillId="0" borderId="0" xfId="0" applyFont="1"/>
    <xf numFmtId="10" fontId="22" fillId="0" borderId="0" xfId="0" applyNumberFormat="1" applyFont="1"/>
    <xf numFmtId="9" fontId="22" fillId="0" borderId="0" xfId="0" applyNumberFormat="1" applyFont="1"/>
    <xf numFmtId="2" fontId="22" fillId="0" borderId="0" xfId="0" applyNumberFormat="1" applyFont="1"/>
    <xf numFmtId="0" fontId="18" fillId="4" borderId="1" xfId="0" applyFont="1" applyFill="1" applyBorder="1"/>
    <xf numFmtId="10" fontId="18" fillId="4" borderId="1" xfId="0" applyNumberFormat="1" applyFont="1" applyFill="1" applyBorder="1"/>
    <xf numFmtId="165" fontId="18" fillId="5" borderId="0" xfId="0" applyNumberFormat="1" applyFont="1" applyFill="1"/>
    <xf numFmtId="10" fontId="23" fillId="0" borderId="0" xfId="0" applyNumberFormat="1" applyFont="1"/>
    <xf numFmtId="10" fontId="24" fillId="0" borderId="0" xfId="0" applyNumberFormat="1" applyFont="1"/>
    <xf numFmtId="2" fontId="25" fillId="0" borderId="1" xfId="0" applyNumberFormat="1" applyFont="1" applyBorder="1" applyAlignment="1">
      <alignment horizontal="center"/>
    </xf>
    <xf numFmtId="10" fontId="0" fillId="0" borderId="0" xfId="1" applyNumberFormat="1" applyFont="1"/>
    <xf numFmtId="0" fontId="25" fillId="0" borderId="1" xfId="0" applyFont="1" applyBorder="1"/>
    <xf numFmtId="0" fontId="26" fillId="0" borderId="1" xfId="0" applyFont="1" applyBorder="1"/>
    <xf numFmtId="2" fontId="26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/>
    <xf numFmtId="0" fontId="27" fillId="0" borderId="1" xfId="0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8" fillId="0" borderId="1" xfId="0" applyFont="1" applyBorder="1"/>
    <xf numFmtId="0" fontId="29" fillId="0" borderId="0" xfId="0" applyFont="1"/>
    <xf numFmtId="10" fontId="29" fillId="0" borderId="0" xfId="1" applyNumberFormat="1" applyFont="1"/>
    <xf numFmtId="10" fontId="29" fillId="0" borderId="0" xfId="0" applyNumberFormat="1" applyFont="1"/>
    <xf numFmtId="2" fontId="28" fillId="0" borderId="1" xfId="0" applyNumberFormat="1" applyFont="1" applyBorder="1" applyAlignment="1">
      <alignment horizontal="center"/>
    </xf>
    <xf numFmtId="2" fontId="29" fillId="0" borderId="0" xfId="1" applyNumberFormat="1" applyFont="1"/>
    <xf numFmtId="10" fontId="0" fillId="2" borderId="0" xfId="0" applyNumberFormat="1" applyFill="1"/>
    <xf numFmtId="10" fontId="1" fillId="0" borderId="0" xfId="1" applyNumberFormat="1" applyFont="1"/>
    <xf numFmtId="10" fontId="1" fillId="2" borderId="0" xfId="0" applyNumberFormat="1" applyFont="1" applyFill="1"/>
    <xf numFmtId="0" fontId="14" fillId="0" borderId="0" xfId="0" applyFont="1" applyAlignment="1">
      <alignment horizontal="left"/>
    </xf>
    <xf numFmtId="10" fontId="1" fillId="2" borderId="0" xfId="1" applyNumberFormat="1" applyFont="1" applyFill="1"/>
    <xf numFmtId="0" fontId="1" fillId="0" borderId="1" xfId="0" applyFont="1" applyBorder="1"/>
    <xf numFmtId="44" fontId="1" fillId="0" borderId="1" xfId="0" applyNumberFormat="1" applyFont="1" applyBorder="1"/>
    <xf numFmtId="43" fontId="0" fillId="0" borderId="1" xfId="0" applyNumberFormat="1" applyBorder="1"/>
    <xf numFmtId="43" fontId="1" fillId="0" borderId="1" xfId="0" applyNumberFormat="1" applyFont="1" applyBorder="1"/>
    <xf numFmtId="44" fontId="0" fillId="0" borderId="1" xfId="0" applyNumberFormat="1" applyBorder="1"/>
    <xf numFmtId="10" fontId="10" fillId="0" borderId="1" xfId="0" applyNumberFormat="1" applyFont="1" applyBorder="1"/>
    <xf numFmtId="9" fontId="3" fillId="0" borderId="1" xfId="0" applyNumberFormat="1" applyFont="1" applyBorder="1"/>
    <xf numFmtId="10" fontId="3" fillId="0" borderId="1" xfId="0" applyNumberFormat="1" applyFont="1" applyBorder="1"/>
    <xf numFmtId="164" fontId="3" fillId="0" borderId="1" xfId="0" applyNumberFormat="1" applyFont="1" applyBorder="1"/>
    <xf numFmtId="10" fontId="0" fillId="0" borderId="1" xfId="0" applyNumberFormat="1" applyBorder="1"/>
    <xf numFmtId="0" fontId="1" fillId="4" borderId="0" xfId="0" applyFont="1" applyFill="1" applyAlignment="1">
      <alignment wrapText="1"/>
    </xf>
    <xf numFmtId="44" fontId="11" fillId="4" borderId="0" xfId="0" applyNumberFormat="1" applyFont="1" applyFill="1"/>
    <xf numFmtId="44" fontId="1" fillId="4" borderId="0" xfId="0" applyNumberFormat="1" applyFont="1" applyFill="1"/>
    <xf numFmtId="43" fontId="1" fillId="4" borderId="0" xfId="0" applyNumberFormat="1" applyFont="1" applyFill="1"/>
    <xf numFmtId="0" fontId="1" fillId="4" borderId="0" xfId="0" applyFont="1" applyFill="1"/>
    <xf numFmtId="0" fontId="0" fillId="0" borderId="2" xfId="0" applyBorder="1"/>
    <xf numFmtId="0" fontId="0" fillId="3" borderId="2" xfId="0" applyFill="1" applyBorder="1"/>
    <xf numFmtId="3" fontId="9" fillId="0" borderId="1" xfId="0" applyNumberFormat="1" applyFont="1" applyBorder="1"/>
    <xf numFmtId="0" fontId="2" fillId="0" borderId="1" xfId="0" applyFont="1" applyBorder="1"/>
    <xf numFmtId="10" fontId="9" fillId="0" borderId="1" xfId="0" applyNumberFormat="1" applyFont="1" applyBorder="1"/>
    <xf numFmtId="3" fontId="0" fillId="0" borderId="1" xfId="0" applyNumberFormat="1" applyBorder="1"/>
    <xf numFmtId="0" fontId="0" fillId="0" borderId="1" xfId="0" applyBorder="1" applyAlignment="1">
      <alignment wrapText="1"/>
    </xf>
    <xf numFmtId="43" fontId="9" fillId="0" borderId="1" xfId="0" applyNumberFormat="1" applyFont="1" applyBorder="1"/>
    <xf numFmtId="43" fontId="14" fillId="0" borderId="1" xfId="0" applyNumberFormat="1" applyFont="1" applyBorder="1"/>
    <xf numFmtId="0" fontId="2" fillId="0" borderId="1" xfId="0" applyFont="1" applyBorder="1" applyAlignment="1">
      <alignment wrapText="1"/>
    </xf>
    <xf numFmtId="10" fontId="14" fillId="0" borderId="1" xfId="0" applyNumberFormat="1" applyFont="1" applyBorder="1"/>
    <xf numFmtId="0" fontId="1" fillId="0" borderId="1" xfId="0" applyFont="1" applyBorder="1" applyAlignment="1">
      <alignment wrapText="1"/>
    </xf>
    <xf numFmtId="43" fontId="11" fillId="0" borderId="1" xfId="0" applyNumberFormat="1" applyFont="1" applyBorder="1"/>
    <xf numFmtId="3" fontId="14" fillId="0" borderId="1" xfId="0" applyNumberFormat="1" applyFont="1" applyBorder="1"/>
    <xf numFmtId="3" fontId="11" fillId="0" borderId="1" xfId="0" applyNumberFormat="1" applyFont="1" applyBorder="1"/>
    <xf numFmtId="3" fontId="1" fillId="0" borderId="1" xfId="0" applyNumberFormat="1" applyFont="1" applyBorder="1"/>
    <xf numFmtId="10" fontId="11" fillId="0" borderId="1" xfId="0" applyNumberFormat="1" applyFont="1" applyBorder="1"/>
    <xf numFmtId="0" fontId="9" fillId="0" borderId="1" xfId="0" applyFont="1" applyBorder="1"/>
    <xf numFmtId="0" fontId="14" fillId="0" borderId="1" xfId="0" applyFont="1" applyBorder="1" applyAlignment="1">
      <alignment wrapText="1"/>
    </xf>
    <xf numFmtId="43" fontId="15" fillId="0" borderId="1" xfId="0" applyNumberFormat="1" applyFont="1" applyBorder="1"/>
    <xf numFmtId="43" fontId="16" fillId="0" borderId="1" xfId="0" applyNumberFormat="1" applyFont="1" applyBorder="1"/>
    <xf numFmtId="0" fontId="8" fillId="0" borderId="1" xfId="0" applyFont="1" applyBorder="1" applyAlignment="1">
      <alignment wrapText="1"/>
    </xf>
    <xf numFmtId="44" fontId="9" fillId="0" borderId="1" xfId="0" applyNumberFormat="1" applyFont="1" applyBorder="1"/>
    <xf numFmtId="44" fontId="14" fillId="0" borderId="1" xfId="0" applyNumberFormat="1" applyFont="1" applyBorder="1"/>
    <xf numFmtId="44" fontId="15" fillId="0" borderId="1" xfId="0" applyNumberFormat="1" applyFont="1" applyBorder="1"/>
    <xf numFmtId="166" fontId="9" fillId="0" borderId="1" xfId="0" applyNumberFormat="1" applyFont="1" applyBorder="1"/>
    <xf numFmtId="10" fontId="30" fillId="0" borderId="1" xfId="0" applyNumberFormat="1" applyFont="1" applyBorder="1"/>
    <xf numFmtId="4" fontId="24" fillId="0" borderId="0" xfId="0" applyNumberFormat="1" applyFont="1"/>
    <xf numFmtId="4" fontId="22" fillId="0" borderId="0" xfId="0" applyNumberFormat="1" applyFont="1"/>
    <xf numFmtId="4" fontId="0" fillId="0" borderId="1" xfId="0" applyNumberFormat="1" applyBorder="1"/>
    <xf numFmtId="4" fontId="9" fillId="0" borderId="1" xfId="0" applyNumberFormat="1" applyFont="1" applyBorder="1"/>
    <xf numFmtId="4" fontId="14" fillId="0" borderId="1" xfId="0" applyNumberFormat="1" applyFont="1" applyBorder="1"/>
    <xf numFmtId="39" fontId="11" fillId="0" borderId="1" xfId="0" applyNumberFormat="1" applyFont="1" applyBorder="1"/>
    <xf numFmtId="39" fontId="1" fillId="0" borderId="1" xfId="0" applyNumberFormat="1" applyFont="1" applyBorder="1"/>
    <xf numFmtId="39" fontId="9" fillId="0" borderId="1" xfId="0" applyNumberFormat="1" applyFont="1" applyBorder="1"/>
    <xf numFmtId="39" fontId="14" fillId="0" borderId="1" xfId="0" applyNumberFormat="1" applyFont="1" applyBorder="1"/>
    <xf numFmtId="39" fontId="0" fillId="0" borderId="1" xfId="0" applyNumberFormat="1" applyBorder="1"/>
    <xf numFmtId="4" fontId="1" fillId="0" borderId="1" xfId="0" applyNumberFormat="1" applyFont="1" applyBorder="1"/>
    <xf numFmtId="9" fontId="0" fillId="0" borderId="1" xfId="0" applyNumberFormat="1" applyBorder="1"/>
    <xf numFmtId="10" fontId="1" fillId="0" borderId="1" xfId="0" applyNumberFormat="1" applyFont="1" applyBorder="1"/>
    <xf numFmtId="39" fontId="14" fillId="2" borderId="1" xfId="0" applyNumberFormat="1" applyFont="1" applyFill="1" applyBorder="1"/>
    <xf numFmtId="0" fontId="9" fillId="0" borderId="0" xfId="0" applyFont="1"/>
    <xf numFmtId="4" fontId="31" fillId="0" borderId="1" xfId="0" applyNumberFormat="1" applyFont="1" applyBorder="1"/>
    <xf numFmtId="4" fontId="32" fillId="0" borderId="1" xfId="0" applyNumberFormat="1" applyFont="1" applyBorder="1"/>
    <xf numFmtId="4" fontId="15" fillId="0" borderId="1" xfId="0" applyNumberFormat="1" applyFont="1" applyBorder="1" applyAlignment="1">
      <alignment horizontal="center"/>
    </xf>
    <xf numFmtId="44" fontId="31" fillId="0" borderId="0" xfId="0" applyNumberFormat="1" applyFont="1"/>
    <xf numFmtId="44" fontId="32" fillId="0" borderId="0" xfId="0" applyNumberFormat="1" applyFont="1"/>
    <xf numFmtId="44" fontId="15" fillId="0" borderId="0" xfId="0" applyNumberFormat="1" applyFont="1" applyAlignment="1">
      <alignment horizontal="center"/>
    </xf>
    <xf numFmtId="44" fontId="31" fillId="0" borderId="1" xfId="0" applyNumberFormat="1" applyFont="1" applyBorder="1"/>
    <xf numFmtId="10" fontId="31" fillId="0" borderId="1" xfId="0" applyNumberFormat="1" applyFont="1" applyBorder="1"/>
    <xf numFmtId="0" fontId="10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33" fillId="0" borderId="1" xfId="0" applyFont="1" applyBorder="1"/>
    <xf numFmtId="2" fontId="34" fillId="0" borderId="1" xfId="0" applyNumberFormat="1" applyFont="1" applyBorder="1" applyAlignment="1">
      <alignment horizontal="center"/>
    </xf>
    <xf numFmtId="0" fontId="35" fillId="0" borderId="1" xfId="0" applyFont="1" applyBorder="1"/>
    <xf numFmtId="2" fontId="36" fillId="0" borderId="1" xfId="0" applyNumberFormat="1" applyFont="1" applyBorder="1" applyAlignment="1">
      <alignment horizontal="center"/>
    </xf>
    <xf numFmtId="0" fontId="8" fillId="0" borderId="0" xfId="0" applyFont="1"/>
    <xf numFmtId="10" fontId="8" fillId="0" borderId="0" xfId="1" applyNumberFormat="1" applyFont="1"/>
    <xf numFmtId="3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az/Documents/IIMU/Term%20IV/CV%20B/CRP%20and%20Lambda.xlsx" TargetMode="External"/><Relationship Id="rId1" Type="http://schemas.openxmlformats.org/officeDocument/2006/relationships/externalLinkPath" Target="CRP%20and%20Lamb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P and Lambda Calculation"/>
      <sheetName val="Damodaran CRP by Country"/>
    </sheetNames>
    <sheetDataSet>
      <sheetData sheetId="0"/>
      <sheetData sheetId="1">
        <row r="2">
          <cell r="A2" t="str">
            <v>Angola</v>
          </cell>
          <cell r="B2">
            <v>84722.957642375652</v>
          </cell>
          <cell r="C2">
            <v>3.2513421250650362E-2</v>
          </cell>
          <cell r="D2">
            <v>3.6063840934561955E-2</v>
          </cell>
          <cell r="E2">
            <v>1.1725588522218612E-3</v>
          </cell>
        </row>
        <row r="3">
          <cell r="A3" t="str">
            <v>Benin</v>
          </cell>
          <cell r="B3">
            <v>19673.284686002258</v>
          </cell>
          <cell r="C3">
            <v>2.3646124545927533E-2</v>
          </cell>
          <cell r="D3">
            <v>8.3742851916382265E-3</v>
          </cell>
          <cell r="E3">
            <v>1.9801939062459413E-4</v>
          </cell>
        </row>
        <row r="4">
          <cell r="A4" t="str">
            <v>Botswana</v>
          </cell>
          <cell r="B4">
            <v>19395.765126312748</v>
          </cell>
          <cell r="C4">
            <v>7.3024796391835027E-3</v>
          </cell>
          <cell r="D4">
            <v>8.2561540317332722E-3</v>
          </cell>
          <cell r="E4">
            <v>6.029039671469501E-5</v>
          </cell>
        </row>
        <row r="5">
          <cell r="A5" t="str">
            <v>Burkina Faso</v>
          </cell>
          <cell r="B5">
            <v>20324.617838967646</v>
          </cell>
          <cell r="C5"/>
          <cell r="D5">
            <v>8.6515367876354096E-3</v>
          </cell>
          <cell r="E5">
            <v>0</v>
          </cell>
        </row>
        <row r="6">
          <cell r="A6" t="str">
            <v>Cameroon</v>
          </cell>
          <cell r="B6">
            <v>47945.510090052856</v>
          </cell>
          <cell r="C6"/>
          <cell r="D6">
            <v>2.0408863164489699E-2</v>
          </cell>
          <cell r="E6">
            <v>0</v>
          </cell>
        </row>
        <row r="7">
          <cell r="A7" t="str">
            <v>Cape Verde</v>
          </cell>
          <cell r="B7">
            <v>1936</v>
          </cell>
          <cell r="C7">
            <v>2.8166707179707803E-2</v>
          </cell>
          <cell r="D7">
            <v>8.2409299665891827E-4</v>
          </cell>
          <cell r="E7">
            <v>2.3211986125739672E-5</v>
          </cell>
        </row>
        <row r="8">
          <cell r="A8" t="str">
            <v>Congo (Democratic Republic of)</v>
          </cell>
          <cell r="B8">
            <v>66383.287002996891</v>
          </cell>
          <cell r="C8">
            <v>3.2513421250650362E-2</v>
          </cell>
          <cell r="D8">
            <v>2.8257232393785497E-2</v>
          </cell>
          <cell r="E8">
            <v>9.1873930019667125E-4</v>
          </cell>
        </row>
        <row r="9">
          <cell r="A9" t="str">
            <v>Congo (Republic of)</v>
          </cell>
          <cell r="B9">
            <v>15321.055818326313</v>
          </cell>
          <cell r="C9"/>
          <cell r="D9">
            <v>6.5216811990201889E-3</v>
          </cell>
          <cell r="E9">
            <v>0</v>
          </cell>
        </row>
        <row r="10">
          <cell r="A10" t="str">
            <v>Côte d'Ivoire</v>
          </cell>
          <cell r="B10">
            <v>78788.828906863448</v>
          </cell>
          <cell r="C10">
            <v>4.4510352086451821E-2</v>
          </cell>
          <cell r="D10">
            <v>3.3537872994371845E-2</v>
          </cell>
          <cell r="E10">
            <v>1.492782535210195E-3</v>
          </cell>
        </row>
        <row r="11">
          <cell r="A11" t="str">
            <v>Egypt</v>
          </cell>
          <cell r="B11">
            <v>395926.07516300579</v>
          </cell>
          <cell r="C11"/>
          <cell r="D11">
            <v>0.16853300916140782</v>
          </cell>
          <cell r="E11">
            <v>0</v>
          </cell>
        </row>
        <row r="12">
          <cell r="A12" t="str">
            <v>Ethiopia</v>
          </cell>
          <cell r="B12">
            <v>163697.92759398237</v>
          </cell>
          <cell r="C12"/>
          <cell r="D12">
            <v>6.9680948191001832E-2</v>
          </cell>
          <cell r="E12">
            <v>0</v>
          </cell>
        </row>
        <row r="13">
          <cell r="A13" t="str">
            <v>Gabon</v>
          </cell>
          <cell r="B13">
            <v>20516.134388660783</v>
          </cell>
          <cell r="C13"/>
          <cell r="D13">
            <v>8.7330592294465638E-3</v>
          </cell>
          <cell r="E13">
            <v>0</v>
          </cell>
        </row>
        <row r="14">
          <cell r="A14" t="str">
            <v>Ghana</v>
          </cell>
          <cell r="B14">
            <v>76370.394412416266</v>
          </cell>
          <cell r="C14"/>
          <cell r="D14">
            <v>3.2508423133962613E-2</v>
          </cell>
          <cell r="E14">
            <v>0</v>
          </cell>
        </row>
        <row r="15">
          <cell r="A15" t="str">
            <v>Kenya</v>
          </cell>
          <cell r="B15">
            <v>107440.57583804752</v>
          </cell>
          <cell r="C15"/>
          <cell r="D15">
            <v>4.5734001087363814E-2</v>
          </cell>
          <cell r="E15">
            <v>0</v>
          </cell>
        </row>
        <row r="16">
          <cell r="A16" t="str">
            <v>Mali</v>
          </cell>
          <cell r="B16">
            <v>20904.898296250143</v>
          </cell>
          <cell r="C16"/>
          <cell r="D16">
            <v>8.8985435339910615E-3</v>
          </cell>
          <cell r="E16">
            <v>0</v>
          </cell>
        </row>
        <row r="17">
          <cell r="A17" t="str">
            <v>Mauritius</v>
          </cell>
          <cell r="B17">
            <v>14397.127281382942</v>
          </cell>
          <cell r="C17">
            <v>9.614931524924944E-2</v>
          </cell>
          <cell r="D17">
            <v>6.1283945065055438E-3</v>
          </cell>
          <cell r="E17">
            <v>5.8924093537777002E-4</v>
          </cell>
        </row>
        <row r="18">
          <cell r="A18" t="str">
            <v>Morocco</v>
          </cell>
          <cell r="B18">
            <v>141109.37320941436</v>
          </cell>
          <cell r="C18">
            <v>3.7034003884430629E-2</v>
          </cell>
          <cell r="D18">
            <v>6.0065726355789231E-2</v>
          </cell>
          <cell r="E18">
            <v>2.2244743431814457E-3</v>
          </cell>
        </row>
        <row r="19">
          <cell r="A19" t="str">
            <v>Mozambique</v>
          </cell>
          <cell r="B19">
            <v>20624.597846549506</v>
          </cell>
          <cell r="C19">
            <v>0.1479621469748848</v>
          </cell>
          <cell r="D19">
            <v>8.7792286385578785E-3</v>
          </cell>
          <cell r="E19">
            <v>1.2989935181444187E-3</v>
          </cell>
        </row>
        <row r="20">
          <cell r="A20" t="str">
            <v>Namibia</v>
          </cell>
          <cell r="B20">
            <v>12351.024843746696</v>
          </cell>
          <cell r="C20">
            <v>2.3646124545927533E-2</v>
          </cell>
          <cell r="D20">
            <v>5.2574344397169227E-3</v>
          </cell>
          <cell r="E20">
            <v>1.243179495535951E-4</v>
          </cell>
        </row>
        <row r="21">
          <cell r="A21" t="str">
            <v>Niger</v>
          </cell>
          <cell r="B21">
            <v>16819.170420565319</v>
          </cell>
          <cell r="C21">
            <v>0.1479621469748848</v>
          </cell>
          <cell r="D21">
            <v>7.1593804510334249E-3</v>
          </cell>
          <cell r="E21">
            <v>1.0593173025449246E-3</v>
          </cell>
        </row>
        <row r="22">
          <cell r="A22" t="str">
            <v>Nigeria</v>
          </cell>
          <cell r="B22">
            <v>362814.95169607276</v>
          </cell>
          <cell r="C22">
            <v>3.2513421250650362E-2</v>
          </cell>
          <cell r="D22">
            <v>0.15443866775613496</v>
          </cell>
          <cell r="E22">
            <v>5.0213294621444492E-3</v>
          </cell>
        </row>
        <row r="23">
          <cell r="A23" t="str">
            <v>Rwanda</v>
          </cell>
          <cell r="B23">
            <v>14097.76864766952</v>
          </cell>
          <cell r="C23">
            <v>2.8166707179707803E-2</v>
          </cell>
          <cell r="D23">
            <v>6.0009671544742358E-3</v>
          </cell>
          <cell r="E23">
            <v>1.6902748463512015E-4</v>
          </cell>
        </row>
        <row r="24">
          <cell r="A24" t="str">
            <v>Senegal</v>
          </cell>
          <cell r="B24">
            <v>31013.986429186058</v>
          </cell>
          <cell r="C24">
            <v>3.2513421250650362E-2</v>
          </cell>
          <cell r="D24">
            <v>1.3201657548949877E-2</v>
          </cell>
          <cell r="E24">
            <v>4.292310530958357E-4</v>
          </cell>
        </row>
        <row r="25">
          <cell r="A25" t="str">
            <v>South Africa</v>
          </cell>
          <cell r="B25">
            <v>377781.60098587308</v>
          </cell>
          <cell r="C25">
            <v>4.4510352086451821E-2</v>
          </cell>
          <cell r="D25">
            <v>0.16080948948298135</v>
          </cell>
          <cell r="E25">
            <v>7.1576869957300712E-3</v>
          </cell>
        </row>
        <row r="26">
          <cell r="A26" t="str">
            <v>Swaziland</v>
          </cell>
          <cell r="B26">
            <v>4597.8558450427581</v>
          </cell>
          <cell r="C26">
            <v>2.8166707179707803E-2</v>
          </cell>
          <cell r="D26">
            <v>1.9571595049313064E-3</v>
          </cell>
          <cell r="E26">
            <v>5.5126738679381999E-5</v>
          </cell>
        </row>
        <row r="27">
          <cell r="A27" t="str">
            <v>Tanzania</v>
          </cell>
          <cell r="B27">
            <v>79158.286333523982</v>
          </cell>
          <cell r="C27">
            <v>2.3646124545927533E-2</v>
          </cell>
          <cell r="D27">
            <v>3.36951391502988E-2</v>
          </cell>
          <cell r="E27">
            <v>7.967594569403243E-4</v>
          </cell>
        </row>
        <row r="28">
          <cell r="A28" t="str">
            <v>Togo</v>
          </cell>
          <cell r="B28">
            <v>9171.2618350626417</v>
          </cell>
          <cell r="C28">
            <v>3.2513421250650362E-2</v>
          </cell>
          <cell r="D28">
            <v>3.903911492148937E-3</v>
          </cell>
          <cell r="E28">
            <v>1.2692951886949342E-4</v>
          </cell>
        </row>
        <row r="29">
          <cell r="A29" t="str">
            <v>Tunisia</v>
          </cell>
          <cell r="B29">
            <v>48529.595416653261</v>
          </cell>
          <cell r="C29"/>
          <cell r="D29">
            <v>2.0657489521464199E-2</v>
          </cell>
          <cell r="E29">
            <v>0</v>
          </cell>
        </row>
        <row r="30">
          <cell r="A30" t="str">
            <v>Uganda</v>
          </cell>
          <cell r="B30">
            <v>49272.882213623001</v>
          </cell>
          <cell r="C30">
            <v>3.2513421250650362E-2</v>
          </cell>
          <cell r="D30">
            <v>2.0973882829259553E-2</v>
          </cell>
          <cell r="E30">
            <v>6.8193268768949823E-4</v>
          </cell>
        </row>
        <row r="31">
          <cell r="A31" t="str">
            <v>Zambia</v>
          </cell>
          <cell r="B31">
            <v>28162.630953928499</v>
          </cell>
          <cell r="C31"/>
          <cell r="D31">
            <v>1.1987927136684992E-2</v>
          </cell>
          <cell r="E31">
            <v>0</v>
          </cell>
        </row>
        <row r="32">
          <cell r="A32" t="str">
            <v>Africa</v>
          </cell>
          <cell r="B32">
            <v>2349249.4267625553</v>
          </cell>
          <cell r="C32">
            <v>2.3599969907680082E-2</v>
          </cell>
          <cell r="D32">
            <v>0.99999999999999989</v>
          </cell>
          <cell r="E32">
            <v>2.3599969907680079E-2</v>
          </cell>
        </row>
        <row r="33">
          <cell r="A33" t="str">
            <v>Bangladesh</v>
          </cell>
          <cell r="B33">
            <v>437415.33104099432</v>
          </cell>
          <cell r="C33">
            <v>8.1370487408044728E-2</v>
          </cell>
          <cell r="D33">
            <v>1.3191683335629556E-2</v>
          </cell>
          <cell r="E33">
            <v>1.0734137027527584E-3</v>
          </cell>
        </row>
        <row r="34">
          <cell r="A34" t="str">
            <v>Cambodia</v>
          </cell>
          <cell r="B34">
            <v>31772.759998857127</v>
          </cell>
          <cell r="C34">
            <v>8.1370487408044728E-2</v>
          </cell>
          <cell r="D34">
            <v>9.5821101561847119E-4</v>
          </cell>
          <cell r="E34">
            <v>7.7970097380632557E-5</v>
          </cell>
        </row>
        <row r="35">
          <cell r="A35" t="str">
            <v>China</v>
          </cell>
          <cell r="B35">
            <v>17794781.986104459</v>
          </cell>
          <cell r="C35">
            <v>1.0432113770262149E-2</v>
          </cell>
          <cell r="D35">
            <v>0.53665958261818492</v>
          </cell>
          <cell r="E35">
            <v>5.5984938217743044E-3</v>
          </cell>
        </row>
        <row r="36">
          <cell r="A36" t="str">
            <v>Fiji</v>
          </cell>
          <cell r="B36">
            <v>5494.7975407336471</v>
          </cell>
          <cell r="C36">
            <v>6.6591659566840031E-2</v>
          </cell>
          <cell r="D36">
            <v>1.6571350843658703E-4</v>
          </cell>
          <cell r="E36">
            <v>1.1035137539435877E-5</v>
          </cell>
        </row>
        <row r="37">
          <cell r="A37" t="str">
            <v>Hong Kong</v>
          </cell>
          <cell r="B37">
            <v>382054.57429852907</v>
          </cell>
          <cell r="C37">
            <v>8.8672967047228254E-3</v>
          </cell>
          <cell r="D37">
            <v>1.1522099486272029E-2</v>
          </cell>
          <cell r="E37">
            <v>1.0216987480610852E-4</v>
          </cell>
        </row>
        <row r="38">
          <cell r="A38" t="str">
            <v>India</v>
          </cell>
          <cell r="B38">
            <v>3549918.9187775319</v>
          </cell>
          <cell r="C38">
            <v>3.2513421250650362E-2</v>
          </cell>
          <cell r="D38">
            <v>0.10705936193920199</v>
          </cell>
          <cell r="E38">
            <v>3.4808661335551183E-3</v>
          </cell>
        </row>
        <row r="39">
          <cell r="A39" t="str">
            <v>Indonesia</v>
          </cell>
          <cell r="B39">
            <v>1371171.152331155</v>
          </cell>
          <cell r="C39">
            <v>2.8166707179707803E-2</v>
          </cell>
          <cell r="D39">
            <v>4.1352130016694987E-2</v>
          </cell>
          <cell r="E39">
            <v>1.1647533374374533E-3</v>
          </cell>
        </row>
        <row r="40">
          <cell r="A40" t="str">
            <v>Japan</v>
          </cell>
          <cell r="B40">
            <v>4212945.1597814029</v>
          </cell>
          <cell r="C40">
            <v>1.0432113770262149E-2</v>
          </cell>
          <cell r="D40">
            <v>0.1270550767526733</v>
          </cell>
          <cell r="E40">
            <v>1.3254530157732773E-3</v>
          </cell>
        </row>
        <row r="41">
          <cell r="A41" t="str">
            <v>Korea</v>
          </cell>
          <cell r="B41">
            <v>1712792.8542023688</v>
          </cell>
          <cell r="C41">
            <v>7.3024796391835027E-3</v>
          </cell>
          <cell r="D41">
            <v>5.1654844603627341E-2</v>
          </cell>
          <cell r="E41">
            <v>3.772084509831765E-4</v>
          </cell>
        </row>
        <row r="42">
          <cell r="A42" t="str">
            <v>Laos</v>
          </cell>
          <cell r="B42">
            <v>15843.155731255179</v>
          </cell>
          <cell r="C42">
            <v>0.1479621469748848</v>
          </cell>
          <cell r="D42">
            <v>4.7780193928364091E-4</v>
          </cell>
          <cell r="E42">
            <v>7.0696600765171065E-5</v>
          </cell>
        </row>
        <row r="43">
          <cell r="A43" t="str">
            <v>Macao</v>
          </cell>
          <cell r="B43">
            <v>47061.843715856485</v>
          </cell>
          <cell r="C43">
            <v>8.8672967047228254E-3</v>
          </cell>
          <cell r="D43">
            <v>1.4193031095023124E-3</v>
          </cell>
          <cell r="E43">
            <v>1.2585381785892714E-5</v>
          </cell>
        </row>
        <row r="44">
          <cell r="A44" t="str">
            <v>Malaysia</v>
          </cell>
          <cell r="B44">
            <v>399648.82854650426</v>
          </cell>
          <cell r="C44">
            <v>1.7734593409445651E-2</v>
          </cell>
          <cell r="D44">
            <v>1.205271150211857E-2</v>
          </cell>
          <cell r="E44">
            <v>2.1374993797142178E-4</v>
          </cell>
        </row>
        <row r="45">
          <cell r="A45" t="str">
            <v>Maldives</v>
          </cell>
          <cell r="B45">
            <v>6600</v>
          </cell>
          <cell r="C45">
            <v>0.13318331913368006</v>
          </cell>
          <cell r="D45">
            <v>1.9904448663916486E-4</v>
          </cell>
          <cell r="E45">
            <v>2.6509405385863411E-5</v>
          </cell>
        </row>
        <row r="46">
          <cell r="A46" t="str">
            <v>Mongolia</v>
          </cell>
          <cell r="B46">
            <v>19872.180369627498</v>
          </cell>
          <cell r="C46">
            <v>8.1370487408044728E-2</v>
          </cell>
          <cell r="D46">
            <v>5.9931029395051435E-4</v>
          </cell>
          <cell r="E46">
            <v>4.8766170727411911E-5</v>
          </cell>
        </row>
        <row r="47">
          <cell r="A47" t="str">
            <v>Nepal</v>
          </cell>
          <cell r="B47">
            <v>40908.073366845521</v>
          </cell>
          <cell r="C47">
            <v>5.3203780228336939E-2</v>
          </cell>
          <cell r="D47">
            <v>1.2337161307122819E-3</v>
          </cell>
          <cell r="E47">
            <v>6.5638361882570457E-5</v>
          </cell>
        </row>
        <row r="48">
          <cell r="A48" t="str">
            <v>Pakistan</v>
          </cell>
          <cell r="B48">
            <v>338368.45531787578</v>
          </cell>
          <cell r="C48">
            <v>0.13318331913368006</v>
          </cell>
          <cell r="D48">
            <v>1.0204602346005119E-2</v>
          </cell>
          <cell r="E48">
            <v>1.3590828108802999E-3</v>
          </cell>
        </row>
        <row r="49">
          <cell r="A49" t="str">
            <v>Papua New Guinea</v>
          </cell>
          <cell r="B49">
            <v>30932.496249791653</v>
          </cell>
          <cell r="C49">
            <v>8.1370487408044728E-2</v>
          </cell>
          <cell r="D49">
            <v>9.3287012674358669E-4</v>
          </cell>
          <cell r="E49">
            <v>7.5908096901530114E-5</v>
          </cell>
        </row>
        <row r="50">
          <cell r="A50" t="str">
            <v>Philippines</v>
          </cell>
          <cell r="B50">
            <v>437146.37272994244</v>
          </cell>
          <cell r="C50">
            <v>2.8166707179707803E-2</v>
          </cell>
          <cell r="D50">
            <v>1.3183572022152184E-2</v>
          </cell>
          <cell r="E50">
            <v>3.7133781273054883E-4</v>
          </cell>
        </row>
        <row r="51">
          <cell r="A51" t="str">
            <v>Singapore</v>
          </cell>
          <cell r="B51">
            <v>501427.50008005853</v>
          </cell>
          <cell r="C51">
            <v>0</v>
          </cell>
          <cell r="D51">
            <v>1.5122178687908341E-2</v>
          </cell>
          <cell r="E51">
            <v>0</v>
          </cell>
        </row>
        <row r="52">
          <cell r="A52" t="str">
            <v>Solomon Islands</v>
          </cell>
          <cell r="B52">
            <v>1631.2867011151561</v>
          </cell>
          <cell r="C52">
            <v>0.11092814309045415</v>
          </cell>
          <cell r="D52">
            <v>4.9196761209812578E-5</v>
          </cell>
          <cell r="E52">
            <v>5.4573053670689941E-6</v>
          </cell>
        </row>
        <row r="53">
          <cell r="A53" t="str">
            <v>Sri Lanka</v>
          </cell>
          <cell r="B53">
            <v>84356.860421129953</v>
          </cell>
          <cell r="C53">
            <v>0.17751980265729422</v>
          </cell>
          <cell r="D53">
            <v>2.5440557540932569E-3</v>
          </cell>
          <cell r="E53">
            <v>4.5162027541578882E-4</v>
          </cell>
        </row>
        <row r="54">
          <cell r="A54" t="str">
            <v>Taiwan</v>
          </cell>
          <cell r="B54">
            <v>791610</v>
          </cell>
          <cell r="C54">
            <v>8.8672967047228254E-3</v>
          </cell>
          <cell r="D54">
            <v>2.3873576677034745E-2</v>
          </cell>
          <cell r="E54">
            <v>2.116940877982179E-4</v>
          </cell>
        </row>
        <row r="55">
          <cell r="A55" t="str">
            <v>Thailand</v>
          </cell>
          <cell r="B55">
            <v>514944.99383357755</v>
          </cell>
          <cell r="C55">
            <v>2.3646124545927533E-2</v>
          </cell>
          <cell r="D55">
            <v>1.5529842718941268E-2</v>
          </cell>
          <cell r="E55">
            <v>3.6722059511075112E-4</v>
          </cell>
        </row>
        <row r="56">
          <cell r="A56" t="str">
            <v>Vietnam</v>
          </cell>
          <cell r="B56">
            <v>429716.96904959279</v>
          </cell>
          <cell r="C56">
            <v>4.4510352086451821E-2</v>
          </cell>
          <cell r="D56">
            <v>1.2959514167365772E-2</v>
          </cell>
          <cell r="E56">
            <v>5.7683253845881106E-4</v>
          </cell>
        </row>
        <row r="57">
          <cell r="A57" t="str">
            <v>Asia</v>
          </cell>
          <cell r="B57">
            <v>33158416.550189212</v>
          </cell>
          <cell r="C57">
            <v>1.7068462953183611E-2</v>
          </cell>
          <cell r="D57">
            <v>0.99999999999999978</v>
          </cell>
          <cell r="E57">
            <v>1.7068462953183608E-2</v>
          </cell>
        </row>
        <row r="58">
          <cell r="A58" t="str">
            <v>Australia</v>
          </cell>
          <cell r="B58">
            <v>1723827.2153347062</v>
          </cell>
          <cell r="C58">
            <v>0</v>
          </cell>
          <cell r="D58">
            <v>0.8711887542108806</v>
          </cell>
          <cell r="E58">
            <v>0</v>
          </cell>
        </row>
        <row r="59">
          <cell r="A59" t="str">
            <v>Cook Islands</v>
          </cell>
          <cell r="B59">
            <v>1414</v>
          </cell>
          <cell r="C59">
            <v>6.6591659566840031E-2</v>
          </cell>
          <cell r="D59">
            <v>7.1460810427859578E-4</v>
          </cell>
          <cell r="E59">
            <v>4.7586939603825173E-5</v>
          </cell>
        </row>
        <row r="60">
          <cell r="A60" t="str">
            <v>New Zealand</v>
          </cell>
          <cell r="B60">
            <v>253465.70323214593</v>
          </cell>
          <cell r="C60">
            <v>0</v>
          </cell>
          <cell r="D60">
            <v>0.12809663768484084</v>
          </cell>
          <cell r="E60">
            <v>0</v>
          </cell>
        </row>
        <row r="61">
          <cell r="A61" t="str">
            <v>Australia &amp; New Zealand</v>
          </cell>
          <cell r="B61">
            <v>1978706.9185668521</v>
          </cell>
          <cell r="C61">
            <v>4.7586939603825173E-5</v>
          </cell>
          <cell r="D61">
            <v>1</v>
          </cell>
          <cell r="E61">
            <v>4.7586939603825173E-5</v>
          </cell>
        </row>
        <row r="62">
          <cell r="A62" t="str">
            <v>Aruba</v>
          </cell>
          <cell r="B62">
            <v>3544.7077880566426</v>
          </cell>
          <cell r="C62">
            <v>3.2513421250650362E-2</v>
          </cell>
          <cell r="D62">
            <v>1.0052755328285716E-2</v>
          </cell>
          <cell r="E62">
            <v>3.2684946871827349E-4</v>
          </cell>
        </row>
        <row r="63">
          <cell r="A63" t="str">
            <v>Bahamas</v>
          </cell>
          <cell r="B63">
            <v>11210</v>
          </cell>
          <cell r="C63">
            <v>6.6591659566840031E-2</v>
          </cell>
          <cell r="D63">
            <v>3.1791446282195532E-2</v>
          </cell>
          <cell r="E63">
            <v>2.117045167961447E-3</v>
          </cell>
        </row>
        <row r="64">
          <cell r="A64" t="str">
            <v>Barbados</v>
          </cell>
          <cell r="B64">
            <v>6393.5641896134503</v>
          </cell>
          <cell r="C64">
            <v>8.1370487408044728E-2</v>
          </cell>
          <cell r="D64">
            <v>1.8132083183395629E-2</v>
          </cell>
          <cell r="E64">
            <v>1.4754164463561135E-3</v>
          </cell>
        </row>
        <row r="65">
          <cell r="A65" t="str">
            <v>Bermuda</v>
          </cell>
          <cell r="B65">
            <v>7827.98</v>
          </cell>
          <cell r="C65">
            <v>1.2518536524314576E-2</v>
          </cell>
          <cell r="D65">
            <v>2.2200071870481796E-2</v>
          </cell>
          <cell r="E65">
            <v>2.7791241055303499E-4</v>
          </cell>
        </row>
        <row r="66">
          <cell r="A66" t="str">
            <v>Cayman Islands</v>
          </cell>
          <cell r="B66">
            <v>6600.8440015372053</v>
          </cell>
          <cell r="C66">
            <v>8.8672967047228254E-3</v>
          </cell>
          <cell r="D66">
            <v>1.8719926627299075E-2</v>
          </cell>
          <cell r="E66">
            <v>1.6599514369490217E-4</v>
          </cell>
        </row>
        <row r="67">
          <cell r="A67" t="str">
            <v>Cuba</v>
          </cell>
          <cell r="B67">
            <v>107351</v>
          </cell>
          <cell r="C67">
            <v>0.17751980265729422</v>
          </cell>
          <cell r="D67">
            <v>0.30444634699732132</v>
          </cell>
          <cell r="E67">
            <v>5.4045255438698599E-2</v>
          </cell>
        </row>
        <row r="68">
          <cell r="A68" t="str">
            <v>Curacao</v>
          </cell>
          <cell r="B68">
            <v>3073.8403254328496</v>
          </cell>
          <cell r="C68">
            <v>3.2513421250650362E-2</v>
          </cell>
          <cell r="D68">
            <v>8.717379980913903E-3</v>
          </cell>
          <cell r="E68">
            <v>2.8343184752144013E-4</v>
          </cell>
        </row>
        <row r="69">
          <cell r="A69" t="str">
            <v>Dominican Republic</v>
          </cell>
          <cell r="B69">
            <v>121444.27931393079</v>
          </cell>
          <cell r="C69">
            <v>5.3203780228336939E-2</v>
          </cell>
          <cell r="D69">
            <v>0.3444147441649224</v>
          </cell>
          <cell r="E69">
            <v>1.8324166355949422E-2</v>
          </cell>
        </row>
        <row r="70">
          <cell r="A70" t="str">
            <v>Jamaica</v>
          </cell>
          <cell r="B70">
            <v>19423.355367237178</v>
          </cell>
          <cell r="C70">
            <v>6.6591659566840031E-2</v>
          </cell>
          <cell r="D70">
            <v>5.5084438784791703E-2</v>
          </cell>
          <cell r="E70">
            <v>3.6681641949872883E-3</v>
          </cell>
        </row>
        <row r="71">
          <cell r="A71" t="str">
            <v>Montserrat</v>
          </cell>
          <cell r="B71">
            <v>16199</v>
          </cell>
          <cell r="C71">
            <v>3.2513421250650362E-2</v>
          </cell>
          <cell r="D71">
            <v>4.5940199672193163E-2</v>
          </cell>
          <cell r="E71">
            <v>1.4936730642810059E-3</v>
          </cell>
        </row>
        <row r="72">
          <cell r="A72" t="str">
            <v>St. Maarten</v>
          </cell>
          <cell r="B72">
            <v>11900</v>
          </cell>
          <cell r="C72">
            <v>4.4510352086451821E-2</v>
          </cell>
          <cell r="D72">
            <v>3.3748279282616131E-2</v>
          </cell>
          <cell r="E72">
            <v>1.5021477931811517E-3</v>
          </cell>
        </row>
        <row r="73">
          <cell r="A73" t="str">
            <v>St. Vincent &amp; the Grenadines</v>
          </cell>
          <cell r="B73">
            <v>8100</v>
          </cell>
          <cell r="C73">
            <v>9.614931524924944E-2</v>
          </cell>
          <cell r="D73">
            <v>2.2971517831024423E-2</v>
          </cell>
          <cell r="E73">
            <v>2.2086957096889219E-3</v>
          </cell>
        </row>
        <row r="74">
          <cell r="A74" t="str">
            <v>Trinidad and Tobago</v>
          </cell>
          <cell r="B74">
            <v>28139.944790291105</v>
          </cell>
          <cell r="C74">
            <v>4.4510352086451821E-2</v>
          </cell>
          <cell r="D74">
            <v>7.9804597964717894E-2</v>
          </cell>
          <cell r="E74">
            <v>3.5521307535273296E-3</v>
          </cell>
        </row>
        <row r="75">
          <cell r="A75" t="str">
            <v>Turks and Caicos Islands</v>
          </cell>
          <cell r="B75">
            <v>1402.0543909473399</v>
          </cell>
          <cell r="C75">
            <v>2.3646124545927533E-2</v>
          </cell>
          <cell r="D75">
            <v>3.9762120298410999E-3</v>
          </cell>
          <cell r="E75">
            <v>9.4022004878637969E-5</v>
          </cell>
        </row>
        <row r="76">
          <cell r="A76" t="str">
            <v>Caribbean</v>
          </cell>
          <cell r="B76">
            <v>352610.57016704662</v>
          </cell>
          <cell r="C76">
            <v>8.9534905799997566E-2</v>
          </cell>
          <cell r="D76">
            <v>0.99999999999999989</v>
          </cell>
          <cell r="E76">
            <v>8.9534905799997552E-2</v>
          </cell>
        </row>
        <row r="77">
          <cell r="A77" t="str">
            <v>Argentina</v>
          </cell>
          <cell r="B77">
            <v>640591.41066388343</v>
          </cell>
          <cell r="C77">
            <v>0.1479621469748848</v>
          </cell>
          <cell r="D77">
            <v>0.10138583010353312</v>
          </cell>
          <cell r="E77">
            <v>1.5001265094949668E-2</v>
          </cell>
        </row>
        <row r="78">
          <cell r="A78" t="str">
            <v>Belize</v>
          </cell>
          <cell r="B78">
            <v>3281.5</v>
          </cell>
          <cell r="C78">
            <v>0.11092814309045415</v>
          </cell>
          <cell r="D78">
            <v>5.1936007249917611E-4</v>
          </cell>
          <cell r="E78">
            <v>5.7611648437657249E-5</v>
          </cell>
        </row>
        <row r="79">
          <cell r="A79" t="str">
            <v>Bolivia</v>
          </cell>
          <cell r="B79">
            <v>45849.832906413896</v>
          </cell>
          <cell r="C79">
            <v>0.17751980265729422</v>
          </cell>
          <cell r="D79">
            <v>7.2566120805577419E-3</v>
          </cell>
          <cell r="E79">
            <v>1.2881923445011475E-3</v>
          </cell>
        </row>
        <row r="80">
          <cell r="A80" t="str">
            <v>Brazil</v>
          </cell>
          <cell r="B80">
            <v>2173665.6559372735</v>
          </cell>
          <cell r="C80">
            <v>3.7034003884430629E-2</v>
          </cell>
          <cell r="D80">
            <v>0.34402412087659651</v>
          </cell>
          <cell r="E80">
            <v>1.2740590628881707E-2</v>
          </cell>
        </row>
        <row r="81">
          <cell r="A81" t="str">
            <v>Chile</v>
          </cell>
          <cell r="B81">
            <v>335533.33166921913</v>
          </cell>
          <cell r="C81">
            <v>1.2518536524314576E-2</v>
          </cell>
          <cell r="D81">
            <v>5.3104560555116788E-2</v>
          </cell>
          <cell r="E81">
            <v>6.6479138091690465E-4</v>
          </cell>
        </row>
        <row r="82">
          <cell r="A82" t="str">
            <v>Colombia</v>
          </cell>
          <cell r="B82">
            <v>363540.15623486834</v>
          </cell>
          <cell r="C82">
            <v>3.2513421250650362E-2</v>
          </cell>
          <cell r="D82">
            <v>5.7537175650922749E-2</v>
          </cell>
          <cell r="E82">
            <v>1.8707304295111143E-3</v>
          </cell>
        </row>
        <row r="83">
          <cell r="A83" t="str">
            <v>Costa Rica</v>
          </cell>
          <cell r="B83">
            <v>86497.941439017435</v>
          </cell>
          <cell r="C83">
            <v>5.3203780228336939E-2</v>
          </cell>
          <cell r="D83">
            <v>1.3689951892975036E-2</v>
          </cell>
          <cell r="E83">
            <v>7.2835719185034909E-4</v>
          </cell>
        </row>
        <row r="84">
          <cell r="A84" t="str">
            <v>Ecuador</v>
          </cell>
          <cell r="B84">
            <v>118844.826</v>
          </cell>
          <cell r="C84">
            <v>0.1479621469748848</v>
          </cell>
          <cell r="D84">
            <v>1.8809464405763206E-2</v>
          </cell>
          <cell r="E84">
            <v>2.7830887369243995E-3</v>
          </cell>
        </row>
        <row r="85">
          <cell r="A85" t="str">
            <v>El Salvador</v>
          </cell>
          <cell r="B85">
            <v>34015.620000000003</v>
          </cell>
          <cell r="C85">
            <v>9.614931524924944E-2</v>
          </cell>
          <cell r="D85">
            <v>5.383621779461961E-3</v>
          </cell>
          <cell r="E85">
            <v>5.176315476562133E-4</v>
          </cell>
        </row>
        <row r="86">
          <cell r="A86" t="str">
            <v>Guatemala</v>
          </cell>
          <cell r="B86">
            <v>102050.47386363636</v>
          </cell>
          <cell r="C86">
            <v>3.7034003884430629E-2</v>
          </cell>
          <cell r="D86">
            <v>1.6151437301354092E-2</v>
          </cell>
          <cell r="E86">
            <v>5.9815239175748519E-4</v>
          </cell>
        </row>
        <row r="87">
          <cell r="A87" t="str">
            <v>Honduras</v>
          </cell>
          <cell r="B87">
            <v>34400.509852043651</v>
          </cell>
          <cell r="C87">
            <v>6.6591659566840031E-2</v>
          </cell>
          <cell r="D87">
            <v>5.4445379523894591E-3</v>
          </cell>
          <cell r="E87">
            <v>3.6256081782425916E-4</v>
          </cell>
        </row>
        <row r="88">
          <cell r="A88" t="str">
            <v>Mexico</v>
          </cell>
          <cell r="B88">
            <v>1788886.8210468132</v>
          </cell>
          <cell r="C88">
            <v>2.8166707179707803E-2</v>
          </cell>
          <cell r="D88">
            <v>0.28312551853472301</v>
          </cell>
          <cell r="E88">
            <v>7.9747135756704779E-3</v>
          </cell>
        </row>
        <row r="89">
          <cell r="A89" t="str">
            <v>Nicaragua</v>
          </cell>
          <cell r="B89">
            <v>17829.215283799655</v>
          </cell>
          <cell r="C89">
            <v>8.1370487408044728E-2</v>
          </cell>
          <cell r="D89">
            <v>2.8218139699520361E-3</v>
          </cell>
          <cell r="E89">
            <v>2.2961237810982687E-4</v>
          </cell>
        </row>
        <row r="90">
          <cell r="A90" t="str">
            <v>Panama</v>
          </cell>
          <cell r="B90">
            <v>83382.399999999994</v>
          </cell>
          <cell r="C90">
            <v>3.2513421250650362E-2</v>
          </cell>
          <cell r="D90">
            <v>1.3196857933614291E-2</v>
          </cell>
          <cell r="E90">
            <v>4.2907500118058873E-4</v>
          </cell>
        </row>
        <row r="91">
          <cell r="A91" t="str">
            <v>Paraguay</v>
          </cell>
          <cell r="B91">
            <v>42956.263543948167</v>
          </cell>
          <cell r="C91">
            <v>3.2513421250650362E-2</v>
          </cell>
          <cell r="D91">
            <v>6.7986494433882778E-3</v>
          </cell>
          <cell r="E91">
            <v>2.2104735328838269E-4</v>
          </cell>
        </row>
        <row r="92">
          <cell r="A92" t="str">
            <v>Peru</v>
          </cell>
          <cell r="B92">
            <v>267603.24865525268</v>
          </cell>
          <cell r="C92">
            <v>2.3646124545927533E-2</v>
          </cell>
          <cell r="D92">
            <v>4.2353327021973815E-2</v>
          </cell>
          <cell r="E92">
            <v>1.0014920456959909E-3</v>
          </cell>
        </row>
        <row r="93">
          <cell r="A93" t="str">
            <v>Suriname</v>
          </cell>
          <cell r="B93">
            <v>3782.4372960432288</v>
          </cell>
          <cell r="C93">
            <v>0.11092814309045415</v>
          </cell>
          <cell r="D93">
            <v>5.9864297068310186E-4</v>
          </cell>
          <cell r="E93">
            <v>6.6406353112029675E-5</v>
          </cell>
        </row>
        <row r="94">
          <cell r="A94" t="str">
            <v>Uruguay</v>
          </cell>
          <cell r="B94">
            <v>77240.831587166962</v>
          </cell>
          <cell r="C94">
            <v>2.3646124545927533E-2</v>
          </cell>
          <cell r="D94">
            <v>1.2224837389306013E-2</v>
          </cell>
          <cell r="E94">
            <v>2.8907002746124161E-4</v>
          </cell>
        </row>
        <row r="95">
          <cell r="A95" t="str">
            <v>Venezuela</v>
          </cell>
          <cell r="B95">
            <v>98400</v>
          </cell>
          <cell r="C95">
            <v>0.26329875264603469</v>
          </cell>
          <cell r="D95">
            <v>1.5573680065189372E-2</v>
          </cell>
          <cell r="E95">
            <v>4.1005305352727782E-3</v>
          </cell>
        </row>
        <row r="96">
          <cell r="A96" t="str">
            <v>Central and South America</v>
          </cell>
          <cell r="B96">
            <v>6318352.4759793812</v>
          </cell>
          <cell r="C96">
            <v>5.0924919483002214E-2</v>
          </cell>
          <cell r="D96">
            <v>0.99999999999999967</v>
          </cell>
          <cell r="E96">
            <v>5.09249194830022E-2</v>
          </cell>
        </row>
        <row r="97">
          <cell r="A97" t="str">
            <v>Albania</v>
          </cell>
          <cell r="B97">
            <v>22977.677860797856</v>
          </cell>
          <cell r="C97">
            <v>5.3203780228336939E-2</v>
          </cell>
          <cell r="D97">
            <v>7.2416882271827696E-3</v>
          </cell>
          <cell r="E97">
            <v>3.8528518892116704E-4</v>
          </cell>
        </row>
        <row r="98">
          <cell r="A98" t="str">
            <v>Armenia</v>
          </cell>
          <cell r="B98">
            <v>24212.134631064004</v>
          </cell>
          <cell r="C98">
            <v>5.3203780228336939E-2</v>
          </cell>
          <cell r="D98">
            <v>7.6307419476831419E-3</v>
          </cell>
          <cell r="E98">
            <v>4.0598431756368566E-4</v>
          </cell>
        </row>
        <row r="99">
          <cell r="A99" t="str">
            <v>Azerbaijan</v>
          </cell>
          <cell r="B99">
            <v>72356.176470588238</v>
          </cell>
          <cell r="C99">
            <v>3.2513421250650362E-2</v>
          </cell>
          <cell r="D99">
            <v>2.280390884080501E-2</v>
          </cell>
          <cell r="E99">
            <v>7.4143309430252326E-4</v>
          </cell>
        </row>
        <row r="100">
          <cell r="A100" t="str">
            <v>Belarus</v>
          </cell>
          <cell r="B100">
            <v>71857.382745606592</v>
          </cell>
          <cell r="C100">
            <v>0.26329875264603469</v>
          </cell>
          <cell r="D100">
            <v>2.2646708071089511E-2</v>
          </cell>
          <cell r="E100">
            <v>5.9628499866567547E-3</v>
          </cell>
        </row>
        <row r="101">
          <cell r="A101" t="str">
            <v>Bosnia and Herzegovina</v>
          </cell>
          <cell r="B101">
            <v>27054.889362885206</v>
          </cell>
          <cell r="C101">
            <v>9.614931524924944E-2</v>
          </cell>
          <cell r="D101">
            <v>8.526669882564673E-3</v>
          </cell>
          <cell r="E101">
            <v>8.1983347056499144E-4</v>
          </cell>
        </row>
        <row r="102">
          <cell r="A102" t="str">
            <v>Bulgaria</v>
          </cell>
          <cell r="B102">
            <v>101584.38467278588</v>
          </cell>
          <cell r="C102">
            <v>2.3646124545927533E-2</v>
          </cell>
          <cell r="D102">
            <v>3.201552598165703E-2</v>
          </cell>
          <cell r="E102">
            <v>7.57043114765641E-4</v>
          </cell>
        </row>
        <row r="103">
          <cell r="A103" t="str">
            <v>Croatia</v>
          </cell>
          <cell r="B103">
            <v>82688.842717392588</v>
          </cell>
          <cell r="C103">
            <v>1.7734593409445651E-2</v>
          </cell>
          <cell r="D103">
            <v>2.6060371394079473E-2</v>
          </cell>
          <cell r="E103">
            <v>4.6217009077314776E-4</v>
          </cell>
        </row>
        <row r="104">
          <cell r="A104" t="str">
            <v>Czech Republic</v>
          </cell>
          <cell r="B104">
            <v>330858.33987168607</v>
          </cell>
          <cell r="C104">
            <v>8.8672967047228254E-3</v>
          </cell>
          <cell r="D104">
            <v>0.10427393748094042</v>
          </cell>
          <cell r="E104">
            <v>9.2462794221321698E-4</v>
          </cell>
        </row>
        <row r="105">
          <cell r="A105" t="str">
            <v>Estonia</v>
          </cell>
          <cell r="B105">
            <v>40744.848827953661</v>
          </cell>
          <cell r="C105">
            <v>1.0432113770262149E-2</v>
          </cell>
          <cell r="D105">
            <v>1.2841223289109523E-2</v>
          </cell>
          <cell r="E105">
            <v>1.3396110230133045E-4</v>
          </cell>
        </row>
        <row r="106">
          <cell r="A106" t="str">
            <v>Georgia</v>
          </cell>
          <cell r="B106">
            <v>30535.530479022662</v>
          </cell>
          <cell r="C106">
            <v>4.4510352086451821E-2</v>
          </cell>
          <cell r="D106">
            <v>9.6236352916230141E-3</v>
          </cell>
          <cell r="E106">
            <v>4.2835139518174382E-4</v>
          </cell>
        </row>
        <row r="107">
          <cell r="A107" t="str">
            <v>Hungary</v>
          </cell>
          <cell r="B107">
            <v>212388.90645872394</v>
          </cell>
          <cell r="C107">
            <v>2.8166707179707803E-2</v>
          </cell>
          <cell r="D107">
            <v>6.6936887739662901E-2</v>
          </cell>
          <cell r="E107">
            <v>1.8853917164840582E-3</v>
          </cell>
        </row>
        <row r="108">
          <cell r="A108" t="str">
            <v>Kazakhstan</v>
          </cell>
          <cell r="B108">
            <v>261421.12108557209</v>
          </cell>
          <cell r="C108">
            <v>2.3646124545927533E-2</v>
          </cell>
          <cell r="D108">
            <v>8.2389972841083833E-2</v>
          </cell>
          <cell r="E108">
            <v>1.9482035591358554E-3</v>
          </cell>
        </row>
        <row r="109">
          <cell r="A109" t="str">
            <v>Kyrgyzstan</v>
          </cell>
          <cell r="B109">
            <v>13987.627908838138</v>
          </cell>
          <cell r="C109">
            <v>9.614931524924944E-2</v>
          </cell>
          <cell r="D109">
            <v>4.4083671538656102E-3</v>
          </cell>
          <cell r="E109">
            <v>4.2386148321146106E-4</v>
          </cell>
        </row>
        <row r="110">
          <cell r="A110" t="str">
            <v>Latvia</v>
          </cell>
          <cell r="B110">
            <v>43627.078481287048</v>
          </cell>
          <cell r="C110">
            <v>1.7734593409445651E-2</v>
          </cell>
          <cell r="D110">
            <v>1.3749592214595744E-2</v>
          </cell>
          <cell r="E110">
            <v>2.4384342747153491E-4</v>
          </cell>
        </row>
        <row r="111">
          <cell r="A111" t="str">
            <v>Lithuania</v>
          </cell>
          <cell r="B111">
            <v>77836.396962771963</v>
          </cell>
          <cell r="C111">
            <v>1.2518536524314576E-2</v>
          </cell>
          <cell r="D111">
            <v>2.4531065451713935E-2</v>
          </cell>
          <cell r="E111">
            <v>3.0709303883763236E-4</v>
          </cell>
        </row>
        <row r="112">
          <cell r="A112" t="str">
            <v>Macedonia</v>
          </cell>
          <cell r="B112">
            <v>14761.237042205697</v>
          </cell>
          <cell r="C112">
            <v>5.3203780228336939E-2</v>
          </cell>
          <cell r="D112">
            <v>4.6521792652324812E-3</v>
          </cell>
          <cell r="E112">
            <v>2.4751352321025495E-4</v>
          </cell>
        </row>
        <row r="113">
          <cell r="A113" t="str">
            <v>Moldova</v>
          </cell>
          <cell r="B113">
            <v>16539.436547294972</v>
          </cell>
          <cell r="C113">
            <v>9.614931524924944E-2</v>
          </cell>
          <cell r="D113">
            <v>5.212599970039946E-3</v>
          </cell>
          <cell r="E113">
            <v>5.011879177875989E-4</v>
          </cell>
        </row>
        <row r="114">
          <cell r="A114" t="str">
            <v>Montenegro</v>
          </cell>
          <cell r="B114">
            <v>7404.5419645077918</v>
          </cell>
          <cell r="C114">
            <v>6.6591659566840031E-2</v>
          </cell>
          <cell r="D114">
            <v>2.3336293900934231E-3</v>
          </cell>
          <cell r="E114">
            <v>1.5540025390027375E-4</v>
          </cell>
        </row>
        <row r="115">
          <cell r="A115" t="str">
            <v>Poland</v>
          </cell>
          <cell r="B115">
            <v>811229.10068756633</v>
          </cell>
          <cell r="C115">
            <v>1.2518536524314576E-2</v>
          </cell>
          <cell r="D115">
            <v>0.25566849111502116</v>
          </cell>
          <cell r="E115">
            <v>3.2005953441397892E-3</v>
          </cell>
        </row>
        <row r="116">
          <cell r="A116" t="str">
            <v>Romania</v>
          </cell>
          <cell r="B116">
            <v>351002.57962967013</v>
          </cell>
          <cell r="C116">
            <v>3.2513421250650362E-2</v>
          </cell>
          <cell r="D116">
            <v>0.11062263401958512</v>
          </cell>
          <cell r="E116">
            <v>3.5967202997352968E-3</v>
          </cell>
        </row>
        <row r="117">
          <cell r="A117" t="str">
            <v>Serbia</v>
          </cell>
          <cell r="B117">
            <v>75187.125426737548</v>
          </cell>
          <cell r="C117">
            <v>4.4510352086451821E-2</v>
          </cell>
          <cell r="D117">
            <v>2.3696116045192634E-2</v>
          </cell>
          <cell r="E117">
            <v>1.0547224682529444E-3</v>
          </cell>
        </row>
        <row r="118">
          <cell r="A118" t="str">
            <v>Slovakia</v>
          </cell>
          <cell r="B118">
            <v>132793.62228307096</v>
          </cell>
          <cell r="C118">
            <v>1.7734593409445651E-2</v>
          </cell>
          <cell r="D118">
            <v>4.1851488081523613E-2</v>
          </cell>
          <cell r="E118">
            <v>7.4221912470608185E-4</v>
          </cell>
        </row>
        <row r="119">
          <cell r="A119" t="str">
            <v>Slovenia</v>
          </cell>
          <cell r="B119">
            <v>68216.781410522774</v>
          </cell>
          <cell r="C119">
            <v>1.7734593409445651E-2</v>
          </cell>
          <cell r="D119">
            <v>2.1499329298183913E-2</v>
          </cell>
          <cell r="E119">
            <v>3.8128186367907419E-4</v>
          </cell>
        </row>
        <row r="120">
          <cell r="A120" t="str">
            <v>Tajikistan</v>
          </cell>
          <cell r="B120">
            <v>12060.602008847782</v>
          </cell>
          <cell r="C120">
            <v>9.614931524924944E-2</v>
          </cell>
          <cell r="D120">
            <v>3.8010420421647063E-3</v>
          </cell>
          <cell r="E120">
            <v>3.6546758958774523E-4</v>
          </cell>
        </row>
        <row r="121">
          <cell r="A121" t="str">
            <v>Ukraine</v>
          </cell>
          <cell r="B121">
            <v>178757.02138680895</v>
          </cell>
          <cell r="C121">
            <v>0.17751980265729422</v>
          </cell>
          <cell r="D121">
            <v>5.6337399503352766E-2</v>
          </cell>
          <cell r="E121">
            <v>1.0001004042060328E-2</v>
          </cell>
        </row>
        <row r="122">
          <cell r="A122" t="str">
            <v>Uzbekistan</v>
          </cell>
          <cell r="B122">
            <v>90889.149306731269</v>
          </cell>
          <cell r="C122">
            <v>5.3203780228336939E-2</v>
          </cell>
          <cell r="D122">
            <v>2.8644795461953546E-2</v>
          </cell>
          <cell r="E122">
            <v>1.5240114024434397E-3</v>
          </cell>
        </row>
        <row r="123">
          <cell r="A123" t="str">
            <v>Eastern Europe</v>
          </cell>
          <cell r="B123">
            <v>3172972.5362309404</v>
          </cell>
          <cell r="C123">
            <v>3.7600056757887565E-2</v>
          </cell>
          <cell r="D123">
            <v>1</v>
          </cell>
          <cell r="E123">
            <v>3.7600056757887565E-2</v>
          </cell>
        </row>
        <row r="124">
          <cell r="A124" t="str">
            <v>Abu Dhabi</v>
          </cell>
          <cell r="B124">
            <v>310000</v>
          </cell>
          <cell r="C124">
            <v>7.3024796391835027E-3</v>
          </cell>
          <cell r="D124">
            <v>9.856228083246249E-2</v>
          </cell>
          <cell r="E124">
            <v>7.1974904897054376E-4</v>
          </cell>
        </row>
        <row r="125">
          <cell r="A125" t="str">
            <v>Bahrain</v>
          </cell>
          <cell r="B125">
            <v>43205</v>
          </cell>
          <cell r="C125">
            <v>8.1370487408044728E-2</v>
          </cell>
          <cell r="D125">
            <v>1.3736720462472717E-2</v>
          </cell>
          <cell r="E125">
            <v>1.1177636394194665E-3</v>
          </cell>
        </row>
        <row r="126">
          <cell r="A126" t="str">
            <v>Iraq</v>
          </cell>
          <cell r="B126">
            <v>250842.78213946417</v>
          </cell>
          <cell r="C126">
            <v>0.11092814309045415</v>
          </cell>
          <cell r="D126">
            <v>7.9753666896858311E-2</v>
          </cell>
          <cell r="E126">
            <v>8.8469261735231158E-3</v>
          </cell>
        </row>
        <row r="127">
          <cell r="A127" t="str">
            <v>Israel</v>
          </cell>
          <cell r="B127">
            <v>509901.49570210325</v>
          </cell>
          <cell r="C127">
            <v>2.3646124545927533E-2</v>
          </cell>
          <cell r="D127">
            <v>0.16211953037510765</v>
          </cell>
          <cell r="E127">
            <v>3.8334986065770775E-3</v>
          </cell>
        </row>
        <row r="128">
          <cell r="A128" t="str">
            <v>Jordan</v>
          </cell>
          <cell r="B128">
            <v>50813.642348674643</v>
          </cell>
          <cell r="C128">
            <v>5.3203780228336939E-2</v>
          </cell>
          <cell r="D128">
            <v>1.6155833829968966E-2</v>
          </cell>
          <cell r="E128">
            <v>8.5955143249519998E-4</v>
          </cell>
        </row>
        <row r="129">
          <cell r="A129" t="str">
            <v>Kuwait</v>
          </cell>
          <cell r="B129">
            <v>11000</v>
          </cell>
          <cell r="C129">
            <v>1.0432113770262149E-2</v>
          </cell>
          <cell r="D129">
            <v>3.4973712553454436E-3</v>
          </cell>
          <cell r="E129">
            <v>3.6484974832608223E-5</v>
          </cell>
        </row>
        <row r="130">
          <cell r="A130" t="str">
            <v>Lebanon</v>
          </cell>
          <cell r="B130">
            <v>17937.256175140981</v>
          </cell>
          <cell r="C130">
            <v>0.26329875264603469</v>
          </cell>
          <cell r="D130">
            <v>5.7030221951550565E-3</v>
          </cell>
          <cell r="E130">
            <v>1.501598630296977E-3</v>
          </cell>
        </row>
        <row r="131">
          <cell r="A131" t="str">
            <v>Oman</v>
          </cell>
          <cell r="B131">
            <v>108192.45773732119</v>
          </cell>
          <cell r="C131">
            <v>3.7034003884430629E-2</v>
          </cell>
          <cell r="D131">
            <v>3.4399017430516717E-2</v>
          </cell>
          <cell r="E131">
            <v>1.2739333451423529E-3</v>
          </cell>
        </row>
        <row r="132">
          <cell r="A132" t="str">
            <v>Qatar</v>
          </cell>
          <cell r="B132">
            <v>235770.4037349</v>
          </cell>
          <cell r="C132">
            <v>7.3024796391835027E-3</v>
          </cell>
          <cell r="D132">
            <v>7.4961512080329931E-2</v>
          </cell>
          <cell r="E132">
            <v>5.4740491568901748E-4</v>
          </cell>
        </row>
        <row r="133">
          <cell r="A133" t="str">
            <v>Ras Al Khaimah (Emirate of)</v>
          </cell>
          <cell r="B133">
            <v>11000</v>
          </cell>
          <cell r="C133">
            <v>1.7734593409445651E-2</v>
          </cell>
          <cell r="D133">
            <v>3.4973712553454436E-3</v>
          </cell>
          <cell r="E133">
            <v>6.2024457215433971E-5</v>
          </cell>
        </row>
        <row r="134">
          <cell r="A134" t="str">
            <v>Saudi Arabia</v>
          </cell>
          <cell r="B134">
            <v>1067582.9333333333</v>
          </cell>
          <cell r="C134">
            <v>8.8672967047228254E-3</v>
          </cell>
          <cell r="D134">
            <v>0.3394303512488519</v>
          </cell>
          <cell r="E134">
            <v>3.0098296351118558E-3</v>
          </cell>
        </row>
        <row r="135">
          <cell r="A135" t="str">
            <v>Sharjah</v>
          </cell>
          <cell r="B135">
            <v>24800</v>
          </cell>
          <cell r="C135">
            <v>3.7034003884430629E-2</v>
          </cell>
          <cell r="D135">
            <v>7.8849824665969993E-3</v>
          </cell>
          <cell r="E135">
            <v>2.9201247129662068E-4</v>
          </cell>
        </row>
        <row r="136">
          <cell r="A136" t="str">
            <v>United Arab Emirates</v>
          </cell>
          <cell r="B136">
            <v>504173.45132743364</v>
          </cell>
          <cell r="C136">
            <v>7.3024796391835027E-3</v>
          </cell>
          <cell r="D136">
            <v>0.1602983396709883</v>
          </cell>
          <cell r="E136">
            <v>1.1705753616423132E-3</v>
          </cell>
        </row>
        <row r="137">
          <cell r="A137" t="str">
            <v>Middle East</v>
          </cell>
          <cell r="B137">
            <v>3145219.4224983715</v>
          </cell>
          <cell r="C137">
            <v>2.3271352692212581E-2</v>
          </cell>
          <cell r="D137">
            <v>0.99999999999999989</v>
          </cell>
          <cell r="E137">
            <v>2.3271352692212578E-2</v>
          </cell>
        </row>
        <row r="138">
          <cell r="A138" t="str">
            <v>Canada</v>
          </cell>
          <cell r="B138">
            <v>2140085.5677914512</v>
          </cell>
          <cell r="C138">
            <v>0</v>
          </cell>
          <cell r="D138">
            <v>7.254276382993842E-2</v>
          </cell>
          <cell r="E138">
            <v>0</v>
          </cell>
        </row>
        <row r="139">
          <cell r="A139" t="str">
            <v>United States</v>
          </cell>
          <cell r="B139">
            <v>27360935</v>
          </cell>
          <cell r="C139">
            <v>4.0328864846280845E-3</v>
          </cell>
          <cell r="D139">
            <v>0.92745723617006159</v>
          </cell>
          <cell r="E139">
            <v>3.740329752820759E-3</v>
          </cell>
        </row>
        <row r="140">
          <cell r="A140" t="str">
            <v>North America</v>
          </cell>
          <cell r="B140">
            <v>29501020.567791451</v>
          </cell>
          <cell r="C140">
            <v>3.740329752820759E-3</v>
          </cell>
          <cell r="D140">
            <v>1</v>
          </cell>
          <cell r="E140">
            <v>3.740329752820759E-3</v>
          </cell>
        </row>
        <row r="141">
          <cell r="A141" t="str">
            <v>Andorra (Principality of)</v>
          </cell>
          <cell r="B141">
            <v>3352</v>
          </cell>
          <cell r="C141">
            <v>2.3646124545927533E-2</v>
          </cell>
          <cell r="D141">
            <v>1.526064281372957E-4</v>
          </cell>
          <cell r="E141">
            <v>3.608550606243634E-6</v>
          </cell>
        </row>
        <row r="142">
          <cell r="A142" t="str">
            <v>Austria</v>
          </cell>
          <cell r="B142">
            <v>516034.14411595033</v>
          </cell>
          <cell r="C142">
            <v>4.0328864846280845E-3</v>
          </cell>
          <cell r="D142">
            <v>2.3493474800245127E-2</v>
          </cell>
          <cell r="E142">
            <v>9.4746516998859065E-5</v>
          </cell>
        </row>
        <row r="143">
          <cell r="A143" t="str">
            <v>Belgium</v>
          </cell>
          <cell r="B143">
            <v>632216.57707510924</v>
          </cell>
          <cell r="C143">
            <v>8.8672967047228254E-3</v>
          </cell>
          <cell r="D143">
            <v>2.8782909796127604E-2</v>
          </cell>
          <cell r="E143">
            <v>2.5522660118753666E-4</v>
          </cell>
        </row>
        <row r="144">
          <cell r="A144" t="str">
            <v>Cyprus</v>
          </cell>
          <cell r="B144">
            <v>32229.622669195112</v>
          </cell>
          <cell r="C144">
            <v>1.7734593409445651E-2</v>
          </cell>
          <cell r="D144">
            <v>1.4673173018373152E-3</v>
          </cell>
          <cell r="E144">
            <v>2.6022275750729626E-5</v>
          </cell>
        </row>
        <row r="145">
          <cell r="A145" t="str">
            <v>Denmark</v>
          </cell>
          <cell r="B145">
            <v>404198.75753797416</v>
          </cell>
          <cell r="C145">
            <v>0</v>
          </cell>
          <cell r="D145">
            <v>1.8401947686576093E-2</v>
          </cell>
          <cell r="E145">
            <v>0</v>
          </cell>
        </row>
        <row r="146">
          <cell r="A146" t="str">
            <v>Finland</v>
          </cell>
          <cell r="B146">
            <v>300187.20269608375</v>
          </cell>
          <cell r="C146">
            <v>4.0328864846280845E-3</v>
          </cell>
          <cell r="D146">
            <v>1.3666615983286315E-2</v>
          </cell>
          <cell r="E146">
            <v>5.5115910889597538E-5</v>
          </cell>
        </row>
        <row r="147">
          <cell r="A147" t="str">
            <v>France</v>
          </cell>
          <cell r="B147">
            <v>3030904.0896078963</v>
          </cell>
          <cell r="C147">
            <v>8.8672967047228254E-3</v>
          </cell>
          <cell r="D147">
            <v>0.13798790189194007</v>
          </cell>
          <cell r="E147">
            <v>1.2235796677380168E-3</v>
          </cell>
        </row>
        <row r="148">
          <cell r="A148" t="str">
            <v>Germany</v>
          </cell>
          <cell r="B148">
            <v>4456081.016705961</v>
          </cell>
          <cell r="C148">
            <v>0</v>
          </cell>
          <cell r="D148">
            <v>0.20287189959722729</v>
          </cell>
          <cell r="E148">
            <v>0</v>
          </cell>
        </row>
        <row r="149">
          <cell r="A149" t="str">
            <v>Greece</v>
          </cell>
          <cell r="B149">
            <v>238206.31263252773</v>
          </cell>
          <cell r="C149">
            <v>3.2513421250650362E-2</v>
          </cell>
          <cell r="D149">
            <v>1.0844813404118747E-2</v>
          </cell>
          <cell r="E149">
            <v>3.5260198659281235E-4</v>
          </cell>
        </row>
        <row r="150">
          <cell r="A150" t="str">
            <v>Guernsey (States of)</v>
          </cell>
          <cell r="B150">
            <v>3446</v>
          </cell>
          <cell r="C150">
            <v>1.0432113770262149E-2</v>
          </cell>
          <cell r="D150">
            <v>1.5688596400988098E-4</v>
          </cell>
          <cell r="E150">
            <v>1.6366522255083313E-6</v>
          </cell>
        </row>
        <row r="151">
          <cell r="A151" t="str">
            <v>Iceland</v>
          </cell>
          <cell r="B151">
            <v>31020.032583197215</v>
          </cell>
          <cell r="C151">
            <v>1.0432113770262149E-2</v>
          </cell>
          <cell r="D151">
            <v>1.4122483213676186E-3</v>
          </cell>
          <cell r="E151">
            <v>1.4732735160368739E-5</v>
          </cell>
        </row>
        <row r="152">
          <cell r="A152" t="str">
            <v>Ireland</v>
          </cell>
          <cell r="B152">
            <v>545629.45040373516</v>
          </cell>
          <cell r="C152">
            <v>8.8672967047228254E-3</v>
          </cell>
          <cell r="D152">
            <v>2.4840859639806014E-2</v>
          </cell>
          <cell r="E152">
            <v>2.2027127282653409E-4</v>
          </cell>
        </row>
        <row r="153">
          <cell r="A153" t="str">
            <v>Isle of Man</v>
          </cell>
          <cell r="B153">
            <v>0</v>
          </cell>
          <cell r="C153">
            <v>8.8672967047228254E-3</v>
          </cell>
          <cell r="D153">
            <v>0</v>
          </cell>
          <cell r="E153">
            <v>0</v>
          </cell>
        </row>
        <row r="154">
          <cell r="A154" t="str">
            <v>Italy</v>
          </cell>
          <cell r="B154">
            <v>2254851.2127318047</v>
          </cell>
          <cell r="C154">
            <v>3.2513421250650362E-2</v>
          </cell>
          <cell r="D154">
            <v>0.10265656013008659</v>
          </cell>
          <cell r="E154">
            <v>3.3377159836522241E-3</v>
          </cell>
        </row>
        <row r="155">
          <cell r="A155" t="str">
            <v>Jersey (States of)</v>
          </cell>
          <cell r="B155">
            <v>4890</v>
          </cell>
          <cell r="C155">
            <v>8.8672967047228254E-3</v>
          </cell>
          <cell r="D155">
            <v>2.2262691932916945E-4</v>
          </cell>
          <cell r="E155">
            <v>1.9740989481501386E-6</v>
          </cell>
        </row>
        <row r="156">
          <cell r="A156" t="str">
            <v>Liechtenstein</v>
          </cell>
          <cell r="B156">
            <v>7364.6545151398359</v>
          </cell>
          <cell r="C156">
            <v>0</v>
          </cell>
          <cell r="D156">
            <v>3.3529045943338237E-4</v>
          </cell>
          <cell r="E156">
            <v>0</v>
          </cell>
        </row>
        <row r="157">
          <cell r="A157" t="str">
            <v>Luxembourg</v>
          </cell>
          <cell r="B157">
            <v>85755.006123597588</v>
          </cell>
          <cell r="C157">
            <v>0</v>
          </cell>
          <cell r="D157">
            <v>3.9041662229755813E-3</v>
          </cell>
          <cell r="E157">
            <v>0</v>
          </cell>
        </row>
        <row r="158">
          <cell r="A158" t="str">
            <v>Malta</v>
          </cell>
          <cell r="B158">
            <v>20956.999452431664</v>
          </cell>
          <cell r="C158">
            <v>1.2518536524314576E-2</v>
          </cell>
          <cell r="D158">
            <v>9.5410883977054245E-4</v>
          </cell>
          <cell r="E158">
            <v>1.1944046358838939E-5</v>
          </cell>
        </row>
        <row r="159">
          <cell r="A159" t="str">
            <v>Netherlands</v>
          </cell>
          <cell r="B159">
            <v>1118124.7498862941</v>
          </cell>
          <cell r="C159">
            <v>0</v>
          </cell>
          <cell r="D159">
            <v>5.0904840182593822E-2</v>
          </cell>
          <cell r="E159">
            <v>0</v>
          </cell>
        </row>
        <row r="160">
          <cell r="A160" t="str">
            <v>Norway</v>
          </cell>
          <cell r="B160">
            <v>485513.31650363043</v>
          </cell>
          <cell r="C160">
            <v>0</v>
          </cell>
          <cell r="D160">
            <v>2.21039537722886E-2</v>
          </cell>
          <cell r="E160">
            <v>0</v>
          </cell>
        </row>
        <row r="161">
          <cell r="A161" t="str">
            <v>Portugal</v>
          </cell>
          <cell r="B161">
            <v>287080.01357449719</v>
          </cell>
          <cell r="C161">
            <v>1.7734593409445651E-2</v>
          </cell>
          <cell r="D161">
            <v>1.3069885280790687E-2</v>
          </cell>
          <cell r="E161">
            <v>2.3178910136292124E-4</v>
          </cell>
        </row>
        <row r="162">
          <cell r="A162" t="str">
            <v>Spain</v>
          </cell>
          <cell r="B162">
            <v>1580694.7125157141</v>
          </cell>
          <cell r="C162">
            <v>2.3646124545927533E-2</v>
          </cell>
          <cell r="D162">
            <v>7.1964252402306875E-2</v>
          </cell>
          <cell r="E162">
            <v>1.7016756751595131E-3</v>
          </cell>
        </row>
        <row r="163">
          <cell r="A163" t="str">
            <v>Sweden</v>
          </cell>
          <cell r="B163">
            <v>593267.70103340817</v>
          </cell>
          <cell r="C163">
            <v>0</v>
          </cell>
          <cell r="D163">
            <v>2.7009685198070836E-2</v>
          </cell>
          <cell r="E163">
            <v>0</v>
          </cell>
        </row>
        <row r="164">
          <cell r="A164" t="str">
            <v>Switzerland</v>
          </cell>
          <cell r="B164">
            <v>884940.40223040886</v>
          </cell>
          <cell r="C164">
            <v>0</v>
          </cell>
          <cell r="D164">
            <v>4.0288661664309201E-2</v>
          </cell>
          <cell r="E164">
            <v>0</v>
          </cell>
        </row>
        <row r="165">
          <cell r="A165" t="str">
            <v>Turkey</v>
          </cell>
          <cell r="B165">
            <v>1108022.3732595111</v>
          </cell>
          <cell r="C165">
            <v>6.6591659566840031E-2</v>
          </cell>
          <cell r="D165">
            <v>5.0444909510543978E-2</v>
          </cell>
          <cell r="E165">
            <v>3.3592102410061955E-3</v>
          </cell>
        </row>
        <row r="166">
          <cell r="A166" t="str">
            <v>United Kingdom</v>
          </cell>
          <cell r="B166">
            <v>3340032.3806680357</v>
          </cell>
          <cell r="C166">
            <v>8.8672967047228254E-3</v>
          </cell>
          <cell r="D166">
            <v>0.15206157860282138</v>
          </cell>
          <cell r="E166">
            <v>1.348375134859749E-3</v>
          </cell>
        </row>
        <row r="167">
          <cell r="A167" t="str">
            <v>Western Europe</v>
          </cell>
          <cell r="B167">
            <v>21964998.728522103</v>
          </cell>
          <cell r="C167">
            <v>1.2240226451323799E-2</v>
          </cell>
          <cell r="D167">
            <v>1</v>
          </cell>
          <cell r="E167">
            <v>1.2240226451323799E-2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az Khan" id="{78FCE032-5CAF-DE4E-96C2-153B5F07A913}" userId="S::maaz.khan.2024@iimu.ac.in::66e21283-5fcb-4b9c-b204-fdd5f0f8eb9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5-07-25T16:16:37.96" personId="{78FCE032-5CAF-DE4E-96C2-153B5F07A913}" id="{F3052865-F2AA-5440-8F75-8FEA077CEFE9}">
    <text>Due to fluctuation, average is taken</text>
  </threadedComment>
  <threadedComment ref="F14" dT="2025-07-25T16:16:44.30" personId="{78FCE032-5CAF-DE4E-96C2-153B5F07A913}" id="{75F459A2-1E56-7A44-9D8D-5DBE505118EA}">
    <text>Due to fluctuation, average is taken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4FD5-EB4F-FF4C-A0EE-FDA111230E34}">
  <dimension ref="A1:M20"/>
  <sheetViews>
    <sheetView topLeftCell="B1" zoomScale="118" workbookViewId="0">
      <selection activeCell="K16" sqref="K16"/>
    </sheetView>
  </sheetViews>
  <sheetFormatPr baseColWidth="10" defaultRowHeight="16"/>
  <cols>
    <col min="1" max="1" width="33.1640625" bestFit="1" customWidth="1"/>
    <col min="2" max="2" width="17.33203125" customWidth="1"/>
    <col min="3" max="5" width="14" bestFit="1" customWidth="1"/>
    <col min="6" max="6" width="16" customWidth="1"/>
    <col min="7" max="9" width="14" bestFit="1" customWidth="1"/>
    <col min="10" max="10" width="18.5" bestFit="1" customWidth="1"/>
    <col min="11" max="11" width="16.1640625" customWidth="1"/>
    <col min="12" max="12" width="20.33203125" bestFit="1" customWidth="1"/>
  </cols>
  <sheetData>
    <row r="1" spans="1:13">
      <c r="A1" s="60"/>
      <c r="B1" s="77" t="s">
        <v>409</v>
      </c>
      <c r="C1" s="77" t="s">
        <v>68</v>
      </c>
      <c r="D1" s="77" t="s">
        <v>69</v>
      </c>
      <c r="E1" s="77" t="s">
        <v>70</v>
      </c>
      <c r="F1" s="77" t="s">
        <v>71</v>
      </c>
      <c r="G1" s="77" t="s">
        <v>72</v>
      </c>
      <c r="H1" s="77" t="s">
        <v>73</v>
      </c>
      <c r="I1" s="77" t="s">
        <v>74</v>
      </c>
      <c r="J1" s="77" t="s">
        <v>75</v>
      </c>
      <c r="L1" s="77" t="s">
        <v>29</v>
      </c>
      <c r="M1" s="130">
        <v>0.25</v>
      </c>
    </row>
    <row r="2" spans="1:13">
      <c r="A2" s="60"/>
      <c r="B2" s="60">
        <v>0</v>
      </c>
      <c r="C2" s="60">
        <v>1</v>
      </c>
      <c r="D2" s="60">
        <v>2</v>
      </c>
      <c r="E2" s="60">
        <v>3</v>
      </c>
      <c r="F2" s="60">
        <v>4</v>
      </c>
      <c r="G2" s="60">
        <v>5</v>
      </c>
      <c r="H2" s="60">
        <v>6</v>
      </c>
      <c r="I2" s="60">
        <v>7</v>
      </c>
      <c r="J2" s="60">
        <v>8</v>
      </c>
      <c r="L2" s="77" t="s">
        <v>408</v>
      </c>
      <c r="M2" s="131">
        <f>WACC!F7</f>
        <v>9.026233169576027E-2</v>
      </c>
    </row>
    <row r="3" spans="1:13" s="6" customFormat="1">
      <c r="A3" s="77" t="s">
        <v>405</v>
      </c>
      <c r="B3" s="129">
        <f>'Financial Statements'!E151*(1-0.25)</f>
        <v>459066</v>
      </c>
      <c r="C3" s="129">
        <f>'Financial Statements'!F151*(1-0.25)</f>
        <v>609358.94912934431</v>
      </c>
      <c r="D3" s="129">
        <f>'Financial Statements'!G151*(1-0.25)</f>
        <v>665961.26571561093</v>
      </c>
      <c r="E3" s="129">
        <f>'Financial Statements'!H151*(1-0.25)</f>
        <v>721866.4503120333</v>
      </c>
      <c r="F3" s="129">
        <f>'Financial Statements'!I151*(1-0.25)</f>
        <v>775340.77917375101</v>
      </c>
      <c r="G3" s="129">
        <f>'Financial Statements'!J151*(1-0.25)</f>
        <v>825945.57823325228</v>
      </c>
      <c r="H3" s="129">
        <f>'Financial Statements'!K151*(1-0.25)</f>
        <v>879129.21777770668</v>
      </c>
      <c r="I3" s="129">
        <f>'Financial Statements'!L151*(1-0.25)</f>
        <v>927075.27400209778</v>
      </c>
      <c r="J3" s="129">
        <f>'Financial Statements'!M151*(1-0.25)</f>
        <v>976690.53188897832</v>
      </c>
      <c r="L3" s="77" t="s">
        <v>410</v>
      </c>
      <c r="M3" s="131">
        <f>'Revenue Prediction'!M3</f>
        <v>5.3518046784589934E-2</v>
      </c>
    </row>
    <row r="4" spans="1:13">
      <c r="A4" s="60" t="s">
        <v>396</v>
      </c>
      <c r="B4" s="121"/>
      <c r="C4" s="121"/>
      <c r="D4" s="121"/>
      <c r="E4" s="121"/>
      <c r="F4" s="121"/>
      <c r="G4" s="121"/>
      <c r="H4" s="121"/>
      <c r="I4" s="121"/>
      <c r="J4" s="121"/>
    </row>
    <row r="5" spans="1:13">
      <c r="A5" s="60" t="s">
        <v>397</v>
      </c>
      <c r="B5" s="121">
        <f>'Financial Statements'!E92</f>
        <v>93420</v>
      </c>
      <c r="C5" s="121">
        <f>'Financial Statements'!F92</f>
        <v>93420</v>
      </c>
      <c r="D5" s="121">
        <f>'Financial Statements'!G92</f>
        <v>119312.15074168304</v>
      </c>
      <c r="E5" s="121">
        <f>'Financial Statements'!H92</f>
        <v>143381.2851297954</v>
      </c>
      <c r="F5" s="121">
        <f>'Financial Statements'!I92</f>
        <v>166019.28605071991</v>
      </c>
      <c r="G5" s="121">
        <f>'Financial Statements'!J92</f>
        <v>187382.83552907695</v>
      </c>
      <c r="H5" s="121">
        <f>'Financial Statements'!K92</f>
        <v>207554.97496109965</v>
      </c>
      <c r="I5" s="121">
        <f>'Financial Statements'!L92</f>
        <v>227035.01076884204</v>
      </c>
      <c r="J5" s="121">
        <f>'Financial Statements'!M92</f>
        <v>245573.16449567073</v>
      </c>
    </row>
    <row r="6" spans="1:13">
      <c r="A6" s="60" t="s">
        <v>398</v>
      </c>
      <c r="B6" s="121">
        <f>'Financial Statements'!E94</f>
        <v>41154</v>
      </c>
      <c r="C6" s="121">
        <f>'Financial Statements'!F94</f>
        <v>41154</v>
      </c>
      <c r="D6" s="121">
        <f>'Financial Statements'!G94</f>
        <v>44067.389603220952</v>
      </c>
      <c r="E6" s="121">
        <f>'Financial Statements'!H94</f>
        <v>47259.351630244339</v>
      </c>
      <c r="F6" s="121">
        <f>'Financial Statements'!I94</f>
        <v>50723.705023666902</v>
      </c>
      <c r="G6" s="121">
        <f>'Financial Statements'!J94</f>
        <v>54445.009711696861</v>
      </c>
      <c r="H6" s="121">
        <f>'Financial Statements'!K94</f>
        <v>58405.604221744572</v>
      </c>
      <c r="I6" s="121">
        <f>'Financial Statements'!L94</f>
        <v>62617.248636096469</v>
      </c>
      <c r="J6" s="121">
        <f>'Financial Statements'!M94</f>
        <v>67049.612582762842</v>
      </c>
    </row>
    <row r="7" spans="1:13">
      <c r="A7" s="60" t="s">
        <v>399</v>
      </c>
      <c r="B7" s="121">
        <f>'Financial Statements'!E96</f>
        <v>75921</v>
      </c>
      <c r="C7" s="121">
        <f>'Financial Statements'!F96</f>
        <v>75921</v>
      </c>
      <c r="D7" s="121">
        <f>'Financial Statements'!G96</f>
        <v>60132.511463366529</v>
      </c>
      <c r="E7" s="121">
        <f>'Financial Statements'!H96</f>
        <v>47627.388138879985</v>
      </c>
      <c r="F7" s="121">
        <f>'Financial Statements'!I96</f>
        <v>37722.823240360478</v>
      </c>
      <c r="G7" s="121">
        <f>'Financial Statements'!J96</f>
        <v>29878.006097542522</v>
      </c>
      <c r="H7" s="121">
        <f>'Financial Statements'!K96</f>
        <v>23664.592723528545</v>
      </c>
      <c r="I7" s="121">
        <f>'Financial Statements'!L96</f>
        <v>18743.317306456454</v>
      </c>
      <c r="J7" s="121">
        <f>'Financial Statements'!M96</f>
        <v>14845.467562229276</v>
      </c>
    </row>
    <row r="8" spans="1:13">
      <c r="A8" s="60" t="s">
        <v>145</v>
      </c>
      <c r="B8" s="121">
        <f>'CapEx Readjustments'!E13</f>
        <v>0</v>
      </c>
      <c r="C8" s="121">
        <f>'CapEx Readjustments'!F13</f>
        <v>21676.3125</v>
      </c>
      <c r="D8" s="121">
        <f>'CapEx Readjustments'!G13</f>
        <v>27021.982692377969</v>
      </c>
      <c r="E8" s="121">
        <f>'CapEx Readjustments'!H13</f>
        <v>32031.154502700268</v>
      </c>
      <c r="F8" s="121">
        <f>'CapEx Readjustments'!I13</f>
        <v>36775.637206544372</v>
      </c>
      <c r="G8" s="121">
        <f>'CapEx Readjustments'!J13</f>
        <v>41278.660328614322</v>
      </c>
      <c r="H8" s="121">
        <f>'CapEx Readjustments'!K13</f>
        <v>45549.896530893879</v>
      </c>
      <c r="I8" s="121">
        <f>'CapEx Readjustments'!L13</f>
        <v>49692.849548460137</v>
      </c>
      <c r="J8" s="121">
        <f>'CapEx Readjustments'!M13</f>
        <v>53647.064636818977</v>
      </c>
    </row>
    <row r="9" spans="1:13" s="6" customFormat="1">
      <c r="A9" s="77" t="s">
        <v>400</v>
      </c>
      <c r="B9" s="129">
        <f>SUM(B5:B8)</f>
        <v>210495</v>
      </c>
      <c r="C9" s="129">
        <f>SUM(C5:C8)</f>
        <v>232171.3125</v>
      </c>
      <c r="D9" s="129">
        <f t="shared" ref="D9:J9" si="0">SUM(D5:D8)</f>
        <v>250534.0345006485</v>
      </c>
      <c r="E9" s="129">
        <f t="shared" si="0"/>
        <v>270299.17940162</v>
      </c>
      <c r="F9" s="129">
        <f t="shared" si="0"/>
        <v>291241.45152129163</v>
      </c>
      <c r="G9" s="129">
        <f t="shared" si="0"/>
        <v>312984.51166693063</v>
      </c>
      <c r="H9" s="129">
        <f t="shared" si="0"/>
        <v>335175.06843726663</v>
      </c>
      <c r="I9" s="129">
        <f t="shared" si="0"/>
        <v>358088.4262598551</v>
      </c>
      <c r="J9" s="129">
        <f t="shared" si="0"/>
        <v>381115.30927748175</v>
      </c>
    </row>
    <row r="10" spans="1:13">
      <c r="A10" s="77" t="s">
        <v>417</v>
      </c>
      <c r="B10" s="129">
        <f>-'Financial Statements'!E116</f>
        <v>-41231</v>
      </c>
      <c r="C10" s="129">
        <f>-'Financial Statements'!F116</f>
        <v>-80889.163478069051</v>
      </c>
      <c r="D10" s="129">
        <f>-'Financial Statements'!G116</f>
        <v>-29108.142943119441</v>
      </c>
      <c r="E10" s="129">
        <f>-'Financial Statements'!H116</f>
        <v>-28749.637870634193</v>
      </c>
      <c r="F10" s="129">
        <f>-'Financial Statements'!I116</f>
        <v>-27499.553060199025</v>
      </c>
      <c r="G10" s="129">
        <f>-'Financial Statements'!J116</f>
        <v>-26023.87699780499</v>
      </c>
      <c r="H10" s="129">
        <f>-'Financial Statements'!K116</f>
        <v>-27350.064016124423</v>
      </c>
      <c r="I10" s="129">
        <f>-'Financial Statements'!L116</f>
        <v>-24656.599628946147</v>
      </c>
      <c r="J10" s="129">
        <f>-'Financial Statements'!M116</f>
        <v>-25514.998428200051</v>
      </c>
    </row>
    <row r="11" spans="1:13">
      <c r="A11" s="60" t="s">
        <v>401</v>
      </c>
      <c r="B11" s="121"/>
      <c r="C11" s="121"/>
      <c r="D11" s="121"/>
      <c r="E11" s="121"/>
      <c r="F11" s="121"/>
      <c r="G11" s="121"/>
      <c r="H11" s="121"/>
      <c r="I11" s="121"/>
      <c r="J11" s="121"/>
    </row>
    <row r="12" spans="1:13">
      <c r="A12" s="60" t="s">
        <v>402</v>
      </c>
      <c r="B12" s="121">
        <f>'Financial Statements'!E119</f>
        <v>-190919</v>
      </c>
      <c r="C12" s="121">
        <f>'Financial Statements'!F119</f>
        <v>-198838.91337511881</v>
      </c>
      <c r="D12" s="121">
        <f>'Financial Statements'!G119</f>
        <v>-217308.72191835681</v>
      </c>
      <c r="E12" s="121">
        <f>'Financial Statements'!H119</f>
        <v>-235551.05047211147</v>
      </c>
      <c r="F12" s="121">
        <f>'Financial Statements'!I119</f>
        <v>-253000.17050147968</v>
      </c>
      <c r="G12" s="121">
        <f>'Financial Statements'!J119</f>
        <v>-269512.93899521302</v>
      </c>
      <c r="H12" s="121">
        <f>'Financial Statements'!K119</f>
        <v>-286867.20467304217</v>
      </c>
      <c r="I12" s="121">
        <f>'Financial Statements'!L119</f>
        <v>-302512.40317862231</v>
      </c>
      <c r="J12" s="121">
        <f>'Financial Statements'!M119</f>
        <v>-318702.27612485451</v>
      </c>
    </row>
    <row r="13" spans="1:13">
      <c r="A13" s="60" t="s">
        <v>403</v>
      </c>
      <c r="B13" s="121">
        <f>'Financial Statements'!E124</f>
        <v>-265288</v>
      </c>
      <c r="C13" s="121">
        <f>'Financial Statements'!F124</f>
        <v>-374283.11803637375</v>
      </c>
      <c r="D13" s="121">
        <f>'Financial Statements'!G124</f>
        <v>-409049.64041248633</v>
      </c>
      <c r="E13" s="121">
        <f>'Financial Statements'!H124</f>
        <v>-443387.96732972463</v>
      </c>
      <c r="F13" s="121">
        <f>'Financial Statements'!I124</f>
        <v>-476233.2034091535</v>
      </c>
      <c r="G13" s="121">
        <f>'Financial Statements'!J124</f>
        <v>-507315.90434701066</v>
      </c>
      <c r="H13" s="121">
        <f>'Financial Statements'!K124</f>
        <v>-539982.59196300874</v>
      </c>
      <c r="I13" s="121">
        <f>'Financial Statements'!L124</f>
        <v>-569432.22825185454</v>
      </c>
      <c r="J13" s="121">
        <f>'Financial Statements'!M124</f>
        <v>-599907.12888409058</v>
      </c>
    </row>
    <row r="14" spans="1:13">
      <c r="A14" s="60" t="s">
        <v>406</v>
      </c>
      <c r="B14" s="121">
        <f>'Financial Statements'!E127</f>
        <v>0</v>
      </c>
      <c r="C14" s="121">
        <f>'Financial Statements'!F127</f>
        <v>-43058.99326951187</v>
      </c>
      <c r="D14" s="121">
        <f>'Financial Statements'!G127</f>
        <v>-47058.669933667159</v>
      </c>
      <c r="E14" s="121">
        <f>'Financial Statements'!H127</f>
        <v>-51009.085318076701</v>
      </c>
      <c r="F14" s="121">
        <f>'Financial Statements'!I127</f>
        <v>-54787.729694824178</v>
      </c>
      <c r="G14" s="121">
        <f>'Financial Statements'!J127</f>
        <v>-58363.605137732549</v>
      </c>
      <c r="H14" s="121">
        <f>'Financial Statements'!K127</f>
        <v>-62121.708601158898</v>
      </c>
      <c r="I14" s="121">
        <f>'Financial Statements'!L127</f>
        <v>-65509.709901895483</v>
      </c>
      <c r="J14" s="121">
        <f>'Financial Statements'!M127</f>
        <v>-69015.661621270046</v>
      </c>
    </row>
    <row r="15" spans="1:13" s="6" customFormat="1">
      <c r="A15" s="77" t="s">
        <v>407</v>
      </c>
      <c r="B15" s="129">
        <f>SUM(B12:B14)</f>
        <v>-456207</v>
      </c>
      <c r="C15" s="129">
        <f>SUM(C12:C14)</f>
        <v>-616181.02468100435</v>
      </c>
      <c r="D15" s="129">
        <f t="shared" ref="D15:J15" si="1">SUM(D12:D14)</f>
        <v>-673417.03226451029</v>
      </c>
      <c r="E15" s="129">
        <f t="shared" si="1"/>
        <v>-729948.10311991279</v>
      </c>
      <c r="F15" s="129">
        <f t="shared" si="1"/>
        <v>-784021.10360545735</v>
      </c>
      <c r="G15" s="129">
        <f t="shared" si="1"/>
        <v>-835192.44847995625</v>
      </c>
      <c r="H15" s="129">
        <f t="shared" si="1"/>
        <v>-888971.50523720984</v>
      </c>
      <c r="I15" s="129">
        <f t="shared" si="1"/>
        <v>-937454.34133237239</v>
      </c>
      <c r="J15" s="129">
        <f t="shared" si="1"/>
        <v>-987625.06663021515</v>
      </c>
    </row>
    <row r="16" spans="1:13">
      <c r="A16" s="60" t="s">
        <v>454</v>
      </c>
      <c r="B16" s="121">
        <f>B3+B9+B10+B15</f>
        <v>172123</v>
      </c>
      <c r="C16" s="121">
        <f>C3+C9+C10+C15</f>
        <v>144460.07347027096</v>
      </c>
      <c r="D16" s="121">
        <f t="shared" ref="D16:J16" si="2">D3+D9+D10+D15</f>
        <v>213970.12500862975</v>
      </c>
      <c r="E16" s="121">
        <f t="shared" si="2"/>
        <v>233467.88872310636</v>
      </c>
      <c r="F16" s="121">
        <f t="shared" si="2"/>
        <v>255061.57402938639</v>
      </c>
      <c r="G16" s="121">
        <f t="shared" si="2"/>
        <v>277713.76442242181</v>
      </c>
      <c r="H16" s="121">
        <f t="shared" si="2"/>
        <v>297982.716961639</v>
      </c>
      <c r="I16" s="121">
        <f t="shared" si="2"/>
        <v>323052.75930063438</v>
      </c>
      <c r="J16" s="121">
        <f t="shared" si="2"/>
        <v>344665.77610804467</v>
      </c>
      <c r="K16" s="121">
        <f>J16*(1+M3)</f>
        <v>363111.61523884197</v>
      </c>
    </row>
    <row r="17" spans="1:10">
      <c r="A17" s="60" t="s">
        <v>153</v>
      </c>
      <c r="B17" s="121"/>
      <c r="C17" s="121"/>
      <c r="D17" s="121"/>
      <c r="E17" s="121"/>
      <c r="F17" s="121"/>
      <c r="G17" s="121"/>
      <c r="H17" s="121"/>
      <c r="I17" s="121"/>
      <c r="J17" s="121">
        <f>K16/(M2-M3)</f>
        <v>9882124.9649208803</v>
      </c>
    </row>
    <row r="18" spans="1:10">
      <c r="A18" s="60" t="s">
        <v>455</v>
      </c>
      <c r="B18" s="121"/>
      <c r="C18" s="121">
        <f t="shared" ref="C18:I18" si="3">C16/((1+$M$2)^C2)</f>
        <v>132500.28848156409</v>
      </c>
      <c r="D18" s="121">
        <f t="shared" si="3"/>
        <v>180007.71757419975</v>
      </c>
      <c r="E18" s="121">
        <f t="shared" si="3"/>
        <v>180149.94473625877</v>
      </c>
      <c r="F18" s="121">
        <f t="shared" si="3"/>
        <v>180518.20448003639</v>
      </c>
      <c r="G18" s="121">
        <f t="shared" si="3"/>
        <v>180277.84895454638</v>
      </c>
      <c r="H18" s="121">
        <f t="shared" si="3"/>
        <v>177421.00305900915</v>
      </c>
      <c r="I18" s="121">
        <f t="shared" si="3"/>
        <v>176423.48707934553</v>
      </c>
      <c r="J18" s="121">
        <f>SUM(J16:J17)/((1+$M$2)^J2)</f>
        <v>5122610.1889353413</v>
      </c>
    </row>
    <row r="20" spans="1:10">
      <c r="A20" s="144" t="s">
        <v>411</v>
      </c>
      <c r="B20" s="132">
        <f>B16+SUM(C18:J18)</f>
        <v>6502031.6833003014</v>
      </c>
      <c r="J20" s="6" t="s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2A70-19D9-0E46-9D5F-78DEDC5DA4D3}">
  <dimension ref="A1:M24"/>
  <sheetViews>
    <sheetView topLeftCell="D1" zoomScale="117" workbookViewId="0">
      <selection activeCell="H23" sqref="H23"/>
    </sheetView>
  </sheetViews>
  <sheetFormatPr baseColWidth="10" defaultRowHeight="16"/>
  <cols>
    <col min="1" max="1" width="21.5" bestFit="1" customWidth="1"/>
    <col min="2" max="2" width="13.1640625" bestFit="1" customWidth="1"/>
    <col min="3" max="4" width="13.33203125" bestFit="1" customWidth="1"/>
    <col min="5" max="5" width="14.1640625" bestFit="1" customWidth="1"/>
    <col min="6" max="7" width="15.6640625" customWidth="1"/>
    <col min="8" max="8" width="17" customWidth="1"/>
    <col min="9" max="9" width="16.83203125" customWidth="1"/>
    <col min="10" max="10" width="18.6640625" customWidth="1"/>
    <col min="11" max="11" width="17.5" customWidth="1"/>
    <col min="12" max="12" width="18" customWidth="1"/>
    <col min="13" max="13" width="23.1640625" bestFit="1" customWidth="1"/>
    <col min="15" max="15" width="12.5" bestFit="1" customWidth="1"/>
  </cols>
  <sheetData>
    <row r="1" spans="1:13">
      <c r="A1" s="60"/>
      <c r="B1" s="77">
        <v>2021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</row>
    <row r="2" spans="1:13">
      <c r="A2" s="60" t="s">
        <v>65</v>
      </c>
      <c r="B2" s="122">
        <v>2585012</v>
      </c>
      <c r="C2" s="122">
        <v>3619603</v>
      </c>
      <c r="D2" s="122">
        <v>4304067</v>
      </c>
      <c r="E2" s="122">
        <v>4789779</v>
      </c>
      <c r="F2" s="121">
        <f t="shared" ref="F2:M2" si="0">SUM(F6:F8)</f>
        <v>5200171.54</v>
      </c>
      <c r="G2" s="121">
        <f t="shared" si="0"/>
        <v>5683206.6316000009</v>
      </c>
      <c r="H2" s="121">
        <f t="shared" si="0"/>
        <v>6160292.5106080016</v>
      </c>
      <c r="I2" s="121">
        <f t="shared" si="0"/>
        <v>6616633.856648162</v>
      </c>
      <c r="J2" s="121">
        <f t="shared" si="0"/>
        <v>7048487.0955849718</v>
      </c>
      <c r="K2" s="121">
        <f t="shared" si="0"/>
        <v>7502347.7456137426</v>
      </c>
      <c r="L2" s="121">
        <f t="shared" si="0"/>
        <v>7911511.6996174706</v>
      </c>
      <c r="M2" s="121">
        <f t="shared" si="0"/>
        <v>8334920.3528944291</v>
      </c>
    </row>
    <row r="3" spans="1:13">
      <c r="A3" s="60" t="s">
        <v>416</v>
      </c>
      <c r="B3" s="99"/>
      <c r="C3" s="96">
        <f>C2/B2-1</f>
        <v>0.40022676877322039</v>
      </c>
      <c r="D3" s="96">
        <f t="shared" ref="D3:F3" si="1">D2/C2-1</f>
        <v>0.18909919126489849</v>
      </c>
      <c r="E3" s="96">
        <f t="shared" si="1"/>
        <v>0.1128495443960329</v>
      </c>
      <c r="F3" s="82">
        <f t="shared" si="1"/>
        <v>8.5680892583979373E-2</v>
      </c>
      <c r="G3" s="82">
        <f t="shared" ref="G3" si="2">G2/F2-1</f>
        <v>9.288829952713451E-2</v>
      </c>
      <c r="H3" s="82">
        <f t="shared" ref="H3:I3" si="3">H2/G2-1</f>
        <v>8.3946600912817138E-2</v>
      </c>
      <c r="I3" s="82">
        <f t="shared" si="3"/>
        <v>7.4077869720365008E-2</v>
      </c>
      <c r="J3" s="82">
        <f t="shared" ref="J3" si="4">J2/I2-1</f>
        <v>6.5267815673811125E-2</v>
      </c>
      <c r="K3" s="82">
        <f t="shared" ref="K3" si="5">K2/J2-1</f>
        <v>6.4391215288321924E-2</v>
      </c>
      <c r="L3" s="82">
        <f t="shared" ref="L3" si="6">L2/K2-1</f>
        <v>5.4538121649045923E-2</v>
      </c>
      <c r="M3" s="82">
        <f t="shared" ref="M3" si="7">M2/L2-1</f>
        <v>5.3518046784589934E-2</v>
      </c>
    </row>
    <row r="4" spans="1:13">
      <c r="B4" s="133"/>
      <c r="C4" s="133"/>
      <c r="D4" s="133"/>
      <c r="E4" s="133"/>
    </row>
    <row r="5" spans="1:13">
      <c r="A5" s="6" t="s">
        <v>66</v>
      </c>
      <c r="B5" s="133"/>
      <c r="C5" s="133"/>
      <c r="D5" s="133"/>
      <c r="E5" s="133"/>
    </row>
    <row r="6" spans="1:13">
      <c r="A6" s="60" t="s">
        <v>25</v>
      </c>
      <c r="B6" s="134">
        <v>1498000</v>
      </c>
      <c r="C6" s="134">
        <v>1959900</v>
      </c>
      <c r="D6" s="135">
        <v>2322116</v>
      </c>
      <c r="E6" s="136">
        <v>2620004</v>
      </c>
      <c r="F6" s="121">
        <f t="shared" ref="F6:M8" si="8">E6*(1+F11)</f>
        <v>2882004.4000000004</v>
      </c>
      <c r="G6" s="121">
        <f t="shared" si="8"/>
        <v>3141384.7960000006</v>
      </c>
      <c r="H6" s="121">
        <f t="shared" si="8"/>
        <v>3392695.5796800009</v>
      </c>
      <c r="I6" s="121">
        <f t="shared" si="8"/>
        <v>3630184.270257601</v>
      </c>
      <c r="J6" s="121">
        <f t="shared" si="8"/>
        <v>3847995.3264730573</v>
      </c>
      <c r="K6" s="121">
        <f t="shared" si="8"/>
        <v>4078875.0460614408</v>
      </c>
      <c r="L6" s="121">
        <f t="shared" si="8"/>
        <v>4282818.7983645126</v>
      </c>
      <c r="M6" s="121">
        <f t="shared" si="8"/>
        <v>4496959.7382827383</v>
      </c>
    </row>
    <row r="7" spans="1:13">
      <c r="A7" s="60" t="s">
        <v>26</v>
      </c>
      <c r="B7" s="134">
        <v>839000</v>
      </c>
      <c r="C7" s="134">
        <v>1311900</v>
      </c>
      <c r="D7" s="135">
        <v>1542978</v>
      </c>
      <c r="E7" s="136">
        <v>1714634</v>
      </c>
      <c r="F7" s="121">
        <f t="shared" si="8"/>
        <v>1817512.04</v>
      </c>
      <c r="G7" s="121">
        <f t="shared" si="8"/>
        <v>1981088.1236000003</v>
      </c>
      <c r="H7" s="121">
        <f t="shared" si="8"/>
        <v>2139575.1734880004</v>
      </c>
      <c r="I7" s="121">
        <f t="shared" si="8"/>
        <v>2289345.4356321604</v>
      </c>
      <c r="J7" s="121">
        <f t="shared" si="8"/>
        <v>2426706.16177009</v>
      </c>
      <c r="K7" s="121">
        <f t="shared" si="8"/>
        <v>2572308.5314762956</v>
      </c>
      <c r="L7" s="121">
        <f t="shared" si="8"/>
        <v>2700923.9580501104</v>
      </c>
      <c r="M7" s="121">
        <f t="shared" si="8"/>
        <v>2835970.1559526161</v>
      </c>
    </row>
    <row r="8" spans="1:13">
      <c r="A8" s="60" t="s">
        <v>24</v>
      </c>
      <c r="B8" s="134">
        <v>248100</v>
      </c>
      <c r="C8" s="134">
        <v>347800</v>
      </c>
      <c r="D8" s="135">
        <v>438973</v>
      </c>
      <c r="E8" s="136">
        <v>455141</v>
      </c>
      <c r="F8" s="121">
        <f t="shared" si="8"/>
        <v>500655.10000000003</v>
      </c>
      <c r="G8" s="121">
        <f t="shared" si="8"/>
        <v>560733.71200000006</v>
      </c>
      <c r="H8" s="121">
        <f t="shared" si="8"/>
        <v>628021.75744000007</v>
      </c>
      <c r="I8" s="121">
        <f t="shared" si="8"/>
        <v>697104.15075840009</v>
      </c>
      <c r="J8" s="121">
        <f t="shared" si="8"/>
        <v>773785.60734182422</v>
      </c>
      <c r="K8" s="121">
        <f t="shared" si="8"/>
        <v>851164.1680760067</v>
      </c>
      <c r="L8" s="121">
        <f t="shared" si="8"/>
        <v>927768.94320284738</v>
      </c>
      <c r="M8" s="121">
        <f t="shared" si="8"/>
        <v>1001990.4586590752</v>
      </c>
    </row>
    <row r="9" spans="1:13">
      <c r="B9" s="137"/>
      <c r="C9" s="137"/>
      <c r="D9" s="138"/>
      <c r="E9" s="139"/>
    </row>
    <row r="10" spans="1:13">
      <c r="A10" s="6" t="s">
        <v>67</v>
      </c>
      <c r="B10" s="137"/>
      <c r="C10" s="137"/>
      <c r="D10" s="138"/>
      <c r="E10" s="139"/>
    </row>
    <row r="11" spans="1:13">
      <c r="A11" s="60" t="s">
        <v>25</v>
      </c>
      <c r="B11" s="140"/>
      <c r="C11" s="141">
        <f t="shared" ref="C11:E13" si="9">C6/B6-1</f>
        <v>0.30834445927903875</v>
      </c>
      <c r="D11" s="141">
        <f t="shared" si="9"/>
        <v>0.18481351089341302</v>
      </c>
      <c r="E11" s="141">
        <f t="shared" si="9"/>
        <v>0.12828299705957846</v>
      </c>
      <c r="F11" s="83">
        <v>0.1</v>
      </c>
      <c r="G11" s="83">
        <v>0.09</v>
      </c>
      <c r="H11" s="84">
        <v>0.08</v>
      </c>
      <c r="I11" s="85">
        <v>7.0000000000000007E-2</v>
      </c>
      <c r="J11" s="84">
        <v>0.06</v>
      </c>
      <c r="K11" s="85">
        <v>0.06</v>
      </c>
      <c r="L11" s="85">
        <v>0.05</v>
      </c>
      <c r="M11" s="85">
        <v>0.05</v>
      </c>
    </row>
    <row r="12" spans="1:13">
      <c r="A12" s="60" t="s">
        <v>26</v>
      </c>
      <c r="B12" s="140"/>
      <c r="C12" s="141">
        <f t="shared" si="9"/>
        <v>0.56364719904648397</v>
      </c>
      <c r="D12" s="141">
        <f t="shared" si="9"/>
        <v>0.17613994969128743</v>
      </c>
      <c r="E12" s="141">
        <f t="shared" si="9"/>
        <v>0.11124980395054229</v>
      </c>
      <c r="F12" s="83">
        <v>0.06</v>
      </c>
      <c r="G12" s="83">
        <v>0.09</v>
      </c>
      <c r="H12" s="83">
        <v>0.08</v>
      </c>
      <c r="I12" s="83">
        <v>7.0000000000000007E-2</v>
      </c>
      <c r="J12" s="83">
        <v>0.06</v>
      </c>
      <c r="K12" s="83">
        <v>0.06</v>
      </c>
      <c r="L12" s="83">
        <v>0.05</v>
      </c>
      <c r="M12" s="83">
        <v>0.05</v>
      </c>
    </row>
    <row r="13" spans="1:13">
      <c r="A13" s="60" t="s">
        <v>24</v>
      </c>
      <c r="B13" s="140"/>
      <c r="C13" s="141">
        <f t="shared" si="9"/>
        <v>0.40185409109230141</v>
      </c>
      <c r="D13" s="141">
        <f t="shared" si="9"/>
        <v>0.26214203565267402</v>
      </c>
      <c r="E13" s="141">
        <f t="shared" si="9"/>
        <v>3.6831422433726058E-2</v>
      </c>
      <c r="F13" s="83">
        <v>0.1</v>
      </c>
      <c r="G13" s="83">
        <v>0.12</v>
      </c>
      <c r="H13" s="83">
        <v>0.12</v>
      </c>
      <c r="I13" s="83">
        <v>0.11</v>
      </c>
      <c r="J13" s="83">
        <v>0.11</v>
      </c>
      <c r="K13" s="83">
        <v>0.1</v>
      </c>
      <c r="L13" s="83">
        <v>0.09</v>
      </c>
      <c r="M13" s="83">
        <v>0.08</v>
      </c>
    </row>
    <row r="14" spans="1:13">
      <c r="B14" s="133"/>
      <c r="C14" s="133"/>
      <c r="D14" s="133"/>
      <c r="E14" s="133"/>
    </row>
    <row r="15" spans="1:13">
      <c r="A15" s="6" t="s">
        <v>415</v>
      </c>
      <c r="B15" s="133"/>
      <c r="C15" s="133"/>
      <c r="D15" s="133"/>
      <c r="E15" s="133"/>
    </row>
    <row r="16" spans="1:13">
      <c r="A16" s="60" t="s">
        <v>25</v>
      </c>
      <c r="B16" s="96">
        <f t="shared" ref="B16:M16" si="10">B6/B$2</f>
        <v>0.57949440853659484</v>
      </c>
      <c r="C16" s="96">
        <f t="shared" si="10"/>
        <v>0.54146822179117438</v>
      </c>
      <c r="D16" s="96">
        <f t="shared" si="10"/>
        <v>0.53951669432655203</v>
      </c>
      <c r="E16" s="96">
        <f t="shared" si="10"/>
        <v>0.54699893251859844</v>
      </c>
      <c r="F16" s="86">
        <f t="shared" si="10"/>
        <v>0.55421333273940432</v>
      </c>
      <c r="G16" s="86">
        <f t="shared" si="10"/>
        <v>0.55274865047720467</v>
      </c>
      <c r="H16" s="86">
        <f t="shared" si="10"/>
        <v>0.5507361174551032</v>
      </c>
      <c r="I16" s="86">
        <f t="shared" si="10"/>
        <v>0.54864517954399417</v>
      </c>
      <c r="J16" s="86">
        <f t="shared" si="10"/>
        <v>0.54593209497160933</v>
      </c>
      <c r="K16" s="86">
        <f t="shared" si="10"/>
        <v>0.54367981655424602</v>
      </c>
      <c r="L16" s="86">
        <f t="shared" si="10"/>
        <v>0.54134013333653941</v>
      </c>
      <c r="M16" s="86">
        <f t="shared" si="10"/>
        <v>0.53953241877363589</v>
      </c>
    </row>
    <row r="17" spans="1:13">
      <c r="A17" s="60" t="s">
        <v>26</v>
      </c>
      <c r="B17" s="96">
        <f t="shared" ref="B17:M17" si="11">B7/B$2</f>
        <v>0.32456329022843994</v>
      </c>
      <c r="C17" s="96">
        <f t="shared" si="11"/>
        <v>0.36244306350724098</v>
      </c>
      <c r="D17" s="96">
        <f t="shared" si="11"/>
        <v>0.35849302531768207</v>
      </c>
      <c r="E17" s="96">
        <f t="shared" si="11"/>
        <v>0.35797768540051639</v>
      </c>
      <c r="F17" s="86">
        <f t="shared" si="11"/>
        <v>0.34951001635611428</v>
      </c>
      <c r="G17" s="86">
        <f t="shared" si="11"/>
        <v>0.34858632670237116</v>
      </c>
      <c r="H17" s="86">
        <f t="shared" si="11"/>
        <v>0.34731713953577037</v>
      </c>
      <c r="I17" s="86">
        <f t="shared" si="11"/>
        <v>0.34599850697978496</v>
      </c>
      <c r="J17" s="86">
        <f t="shared" si="11"/>
        <v>0.34428752282034097</v>
      </c>
      <c r="K17" s="86">
        <f t="shared" si="11"/>
        <v>0.34286714221960707</v>
      </c>
      <c r="L17" s="86">
        <f t="shared" si="11"/>
        <v>0.34139164051046056</v>
      </c>
      <c r="M17" s="86">
        <f t="shared" si="11"/>
        <v>0.34025162039704215</v>
      </c>
    </row>
    <row r="18" spans="1:13">
      <c r="A18" s="60" t="s">
        <v>24</v>
      </c>
      <c r="B18" s="96">
        <f t="shared" ref="B18:M18" si="12">B8/B$2</f>
        <v>9.5976343630126276E-2</v>
      </c>
      <c r="C18" s="96">
        <f t="shared" si="12"/>
        <v>9.6087885881407431E-2</v>
      </c>
      <c r="D18" s="96">
        <f t="shared" si="12"/>
        <v>0.10199028035576584</v>
      </c>
      <c r="E18" s="96">
        <f t="shared" si="12"/>
        <v>9.5023382080885149E-2</v>
      </c>
      <c r="F18" s="86">
        <f t="shared" si="12"/>
        <v>9.6276650904481509E-2</v>
      </c>
      <c r="G18" s="86">
        <f t="shared" si="12"/>
        <v>9.8665022820424164E-2</v>
      </c>
      <c r="H18" s="86">
        <f t="shared" si="12"/>
        <v>0.10194674300912641</v>
      </c>
      <c r="I18" s="86">
        <f t="shared" si="12"/>
        <v>0.10535631347622088</v>
      </c>
      <c r="J18" s="86">
        <f t="shared" si="12"/>
        <v>0.10978038220804968</v>
      </c>
      <c r="K18" s="86">
        <f t="shared" si="12"/>
        <v>0.11345304122614697</v>
      </c>
      <c r="L18" s="86">
        <f t="shared" si="12"/>
        <v>0.11726822615300006</v>
      </c>
      <c r="M18" s="86">
        <f t="shared" si="12"/>
        <v>0.12021596082932198</v>
      </c>
    </row>
    <row r="20" spans="1:13">
      <c r="M20" s="142" t="s">
        <v>412</v>
      </c>
    </row>
    <row r="21" spans="1:13">
      <c r="M21" s="109" t="s">
        <v>413</v>
      </c>
    </row>
    <row r="22" spans="1:13">
      <c r="M22" s="143" t="s">
        <v>414</v>
      </c>
    </row>
    <row r="24" spans="1:13">
      <c r="M24" s="6" t="s">
        <v>453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477C-2C53-604E-B93B-D36C9577F2CB}">
  <dimension ref="A1:U169"/>
  <sheetViews>
    <sheetView zoomScale="136" zoomScaleNormal="100" workbookViewId="0">
      <pane ySplit="2" topLeftCell="A58" activePane="bottomLeft" state="frozen"/>
      <selection pane="bottomLeft" activeCell="E64" sqref="E64"/>
    </sheetView>
  </sheetViews>
  <sheetFormatPr baseColWidth="10" defaultColWidth="11.1640625" defaultRowHeight="16"/>
  <cols>
    <col min="1" max="1" width="52.5" style="1" bestFit="1" customWidth="1"/>
    <col min="2" max="2" width="14" style="21" bestFit="1" customWidth="1"/>
    <col min="3" max="3" width="14.6640625" style="21" bestFit="1" customWidth="1"/>
    <col min="4" max="4" width="13.6640625" style="21" bestFit="1" customWidth="1"/>
    <col min="5" max="5" width="14.6640625" style="21" bestFit="1" customWidth="1"/>
    <col min="6" max="6" width="14.1640625" style="22" bestFit="1" customWidth="1"/>
    <col min="7" max="7" width="14.1640625" style="14" bestFit="1" customWidth="1"/>
    <col min="8" max="10" width="14.5" style="14" bestFit="1" customWidth="1"/>
    <col min="11" max="12" width="15.6640625" style="14" bestFit="1" customWidth="1"/>
    <col min="13" max="13" width="22.6640625" style="14" bestFit="1" customWidth="1"/>
    <col min="14" max="21" width="11.1640625" style="4"/>
  </cols>
  <sheetData>
    <row r="1" spans="1:21">
      <c r="A1" s="98"/>
      <c r="B1" s="77" t="s">
        <v>20</v>
      </c>
      <c r="C1" s="77" t="s">
        <v>21</v>
      </c>
      <c r="D1" s="77" t="s">
        <v>22</v>
      </c>
      <c r="E1" s="77" t="s">
        <v>23</v>
      </c>
      <c r="F1" s="77" t="s">
        <v>68</v>
      </c>
      <c r="G1" s="77" t="s">
        <v>69</v>
      </c>
      <c r="H1" s="77" t="s">
        <v>70</v>
      </c>
      <c r="I1" s="77" t="s">
        <v>71</v>
      </c>
      <c r="J1" s="77" t="s">
        <v>72</v>
      </c>
      <c r="K1" s="77" t="s">
        <v>73</v>
      </c>
      <c r="L1" s="77" t="s">
        <v>74</v>
      </c>
      <c r="M1" s="77" t="s">
        <v>75</v>
      </c>
      <c r="N1"/>
      <c r="O1"/>
      <c r="P1"/>
      <c r="Q1"/>
      <c r="R1"/>
      <c r="S1"/>
      <c r="T1"/>
      <c r="U1"/>
    </row>
    <row r="2" spans="1:21" ht="17">
      <c r="A2" s="98" t="s">
        <v>0</v>
      </c>
      <c r="B2" s="99">
        <v>2585012</v>
      </c>
      <c r="C2" s="99">
        <v>3619603</v>
      </c>
      <c r="D2" s="99">
        <v>4304067</v>
      </c>
      <c r="E2" s="94">
        <v>4789779</v>
      </c>
      <c r="F2" s="100" cm="1">
        <f t="array" ref="F2:M2">'Revenue Prediction'!F2:M2</f>
        <v>5200171.54</v>
      </c>
      <c r="G2" s="79">
        <v>5683206.6316000009</v>
      </c>
      <c r="H2" s="79">
        <v>6160292.5106080016</v>
      </c>
      <c r="I2" s="79">
        <v>6616633.856648162</v>
      </c>
      <c r="J2" s="79">
        <v>7048487.0955849718</v>
      </c>
      <c r="K2" s="79">
        <v>7502347.7456137426</v>
      </c>
      <c r="L2" s="79">
        <v>7911511.6996174706</v>
      </c>
      <c r="M2" s="79">
        <v>8334920.3528944291</v>
      </c>
    </row>
    <row r="3" spans="1:21" ht="17">
      <c r="A3" s="101" t="s">
        <v>76</v>
      </c>
      <c r="B3" s="99"/>
      <c r="C3" s="96">
        <f>C2/B2-1</f>
        <v>0.40022676877322039</v>
      </c>
      <c r="D3" s="96">
        <f t="shared" ref="D3:M3" si="0">D2/C2-1</f>
        <v>0.18909919126489849</v>
      </c>
      <c r="E3" s="96">
        <f t="shared" si="0"/>
        <v>0.1128495443960329</v>
      </c>
      <c r="F3" s="102">
        <f t="shared" si="0"/>
        <v>8.5680892583979373E-2</v>
      </c>
      <c r="G3" s="86">
        <f t="shared" si="0"/>
        <v>9.288829952713451E-2</v>
      </c>
      <c r="H3" s="86">
        <f t="shared" si="0"/>
        <v>8.3946600912817138E-2</v>
      </c>
      <c r="I3" s="86">
        <f t="shared" si="0"/>
        <v>7.4077869720365008E-2</v>
      </c>
      <c r="J3" s="86">
        <f t="shared" si="0"/>
        <v>6.5267815673811125E-2</v>
      </c>
      <c r="K3" s="86">
        <f t="shared" si="0"/>
        <v>6.4391215288321924E-2</v>
      </c>
      <c r="L3" s="86">
        <f t="shared" si="0"/>
        <v>5.4538121649045923E-2</v>
      </c>
      <c r="M3" s="86">
        <f t="shared" si="0"/>
        <v>5.3518046784589934E-2</v>
      </c>
    </row>
    <row r="4" spans="1:21" ht="17">
      <c r="A4" s="98" t="s">
        <v>78</v>
      </c>
      <c r="B4" s="99">
        <v>699906</v>
      </c>
      <c r="C4" s="99">
        <v>926969</v>
      </c>
      <c r="D4" s="99">
        <v>1088904</v>
      </c>
      <c r="E4" s="94">
        <v>1201679</v>
      </c>
      <c r="F4" s="100">
        <f>F2*F5</f>
        <v>1304639.9293194236</v>
      </c>
      <c r="G4" s="79">
        <f>G2*G5</f>
        <v>1425825.7138491059</v>
      </c>
      <c r="H4" s="79">
        <f t="shared" ref="H4:M4" si="1">H2*H5</f>
        <v>1545518.9360208292</v>
      </c>
      <c r="I4" s="79">
        <f t="shared" si="1"/>
        <v>1660007.6864137377</v>
      </c>
      <c r="J4" s="79">
        <f t="shared" si="1"/>
        <v>1768352.7621076989</v>
      </c>
      <c r="K4" s="79">
        <f t="shared" si="1"/>
        <v>1882219.1455182745</v>
      </c>
      <c r="L4" s="79">
        <f t="shared" si="1"/>
        <v>1984871.8422467136</v>
      </c>
      <c r="M4" s="79">
        <f t="shared" si="1"/>
        <v>2091098.3063614885</v>
      </c>
    </row>
    <row r="5" spans="1:21" ht="17">
      <c r="A5" s="101" t="s">
        <v>77</v>
      </c>
      <c r="B5" s="96">
        <f>B4/B2</f>
        <v>0.2707554162224392</v>
      </c>
      <c r="C5" s="96">
        <f t="shared" ref="C5:E5" si="2">C4/C2</f>
        <v>0.25609687029212874</v>
      </c>
      <c r="D5" s="96">
        <f t="shared" si="2"/>
        <v>0.25299420292481506</v>
      </c>
      <c r="E5" s="96">
        <f t="shared" si="2"/>
        <v>0.25088401782211661</v>
      </c>
      <c r="F5" s="102">
        <f>E5</f>
        <v>0.25088401782211661</v>
      </c>
      <c r="G5" s="84">
        <f>F5</f>
        <v>0.25088401782211661</v>
      </c>
      <c r="H5" s="84">
        <f t="shared" ref="H5:M5" si="3">G5</f>
        <v>0.25088401782211661</v>
      </c>
      <c r="I5" s="84">
        <f t="shared" si="3"/>
        <v>0.25088401782211661</v>
      </c>
      <c r="J5" s="84">
        <f t="shared" si="3"/>
        <v>0.25088401782211661</v>
      </c>
      <c r="K5" s="84">
        <f t="shared" si="3"/>
        <v>0.25088401782211661</v>
      </c>
      <c r="L5" s="84">
        <f t="shared" si="3"/>
        <v>0.25088401782211661</v>
      </c>
      <c r="M5" s="84">
        <f t="shared" si="3"/>
        <v>0.25088401782211661</v>
      </c>
    </row>
    <row r="6" spans="1:21" s="6" customFormat="1" ht="17">
      <c r="A6" s="103" t="s">
        <v>1</v>
      </c>
      <c r="B6" s="104">
        <f>B2-B4</f>
        <v>1885106</v>
      </c>
      <c r="C6" s="104">
        <f>C2-C4</f>
        <v>2692634</v>
      </c>
      <c r="D6" s="104">
        <f t="shared" ref="D6:M6" si="4">D2-D4</f>
        <v>3215163</v>
      </c>
      <c r="E6" s="104">
        <f t="shared" si="4"/>
        <v>3588100</v>
      </c>
      <c r="F6" s="80">
        <f t="shared" si="4"/>
        <v>3895531.6106805764</v>
      </c>
      <c r="G6" s="80">
        <f t="shared" si="4"/>
        <v>4257380.917750895</v>
      </c>
      <c r="H6" s="80">
        <f t="shared" si="4"/>
        <v>4614773.5745871719</v>
      </c>
      <c r="I6" s="80">
        <f t="shared" si="4"/>
        <v>4956626.1702344241</v>
      </c>
      <c r="J6" s="80">
        <f t="shared" si="4"/>
        <v>5280134.3334772727</v>
      </c>
      <c r="K6" s="80">
        <f t="shared" si="4"/>
        <v>5620128.6000954676</v>
      </c>
      <c r="L6" s="80">
        <f t="shared" si="4"/>
        <v>5926639.8573707566</v>
      </c>
      <c r="M6" s="80">
        <f t="shared" si="4"/>
        <v>6243822.0465329401</v>
      </c>
      <c r="N6" s="19"/>
      <c r="O6" s="19"/>
      <c r="P6" s="19"/>
      <c r="Q6" s="19"/>
      <c r="R6" s="19"/>
      <c r="S6" s="19"/>
      <c r="T6" s="19"/>
      <c r="U6" s="19"/>
    </row>
    <row r="7" spans="1:21" ht="17">
      <c r="A7" s="101" t="s">
        <v>76</v>
      </c>
      <c r="B7" s="99"/>
      <c r="C7" s="96">
        <f>C6/B6-1</f>
        <v>0.42837272811184102</v>
      </c>
      <c r="D7" s="96">
        <f t="shared" ref="D7:G7" si="5">D6/C6-1</f>
        <v>0.19405868008797333</v>
      </c>
      <c r="E7" s="96">
        <f t="shared" si="5"/>
        <v>0.11599318603753517</v>
      </c>
      <c r="F7" s="102">
        <f t="shared" si="5"/>
        <v>8.5680892583979373E-2</v>
      </c>
      <c r="G7" s="82">
        <f t="shared" si="5"/>
        <v>9.2888299527134732E-2</v>
      </c>
      <c r="H7" s="82">
        <f t="shared" ref="H7" si="6">H6/G6-1</f>
        <v>8.3946600912816915E-2</v>
      </c>
      <c r="I7" s="82">
        <f t="shared" ref="I7" si="7">I6/H6-1</f>
        <v>7.4077869720365008E-2</v>
      </c>
      <c r="J7" s="82">
        <f t="shared" ref="J7" si="8">J6/I6-1</f>
        <v>6.5267815673811125E-2</v>
      </c>
      <c r="K7" s="82">
        <f t="shared" ref="K7" si="9">K6/J6-1</f>
        <v>6.4391215288321924E-2</v>
      </c>
      <c r="L7" s="82">
        <f t="shared" ref="L7" si="10">L6/K6-1</f>
        <v>5.4538121649045923E-2</v>
      </c>
      <c r="M7" s="82">
        <f t="shared" ref="M7" si="11">M6/L6-1</f>
        <v>5.3518046784589934E-2</v>
      </c>
    </row>
    <row r="8" spans="1:21" ht="17">
      <c r="A8" s="98" t="s">
        <v>79</v>
      </c>
      <c r="B8" s="99"/>
      <c r="C8" s="96"/>
      <c r="D8" s="96"/>
      <c r="E8" s="96"/>
      <c r="F8" s="100"/>
      <c r="G8" s="79"/>
      <c r="H8" s="79"/>
      <c r="I8" s="79"/>
      <c r="J8" s="79"/>
      <c r="K8" s="79"/>
      <c r="L8" s="79"/>
      <c r="M8" s="79"/>
    </row>
    <row r="9" spans="1:21" ht="17">
      <c r="A9" s="98" t="s">
        <v>2</v>
      </c>
      <c r="B9" s="94">
        <v>138235</v>
      </c>
      <c r="C9" s="94">
        <v>221663</v>
      </c>
      <c r="D9" s="94">
        <v>217685</v>
      </c>
      <c r="E9" s="94">
        <v>220384</v>
      </c>
      <c r="F9" s="100">
        <f>F2*F10</f>
        <v>239266.69783122771</v>
      </c>
      <c r="G9" s="79">
        <f>G2*G10</f>
        <v>261491.77452624321</v>
      </c>
      <c r="H9" s="79">
        <f t="shared" ref="H9:M9" si="12">H2*H10</f>
        <v>283443.1201643821</v>
      </c>
      <c r="I9" s="79">
        <f t="shared" si="12"/>
        <v>304439.98269305297</v>
      </c>
      <c r="J9" s="79">
        <f t="shared" si="12"/>
        <v>324310.11536720139</v>
      </c>
      <c r="K9" s="79">
        <f t="shared" si="12"/>
        <v>345192.83782599139</v>
      </c>
      <c r="L9" s="79">
        <f t="shared" si="12"/>
        <v>364019.00680772471</v>
      </c>
      <c r="M9" s="79">
        <f t="shared" si="12"/>
        <v>383500.59304454044</v>
      </c>
    </row>
    <row r="10" spans="1:21" ht="17">
      <c r="A10" s="101" t="s">
        <v>77</v>
      </c>
      <c r="B10" s="96">
        <f>B9/B$2</f>
        <v>5.347557380778116E-2</v>
      </c>
      <c r="C10" s="96">
        <f t="shared" ref="C10:E10" si="13">C9/C$2</f>
        <v>6.1239588982548637E-2</v>
      </c>
      <c r="D10" s="96">
        <f t="shared" si="13"/>
        <v>5.0576582567139407E-2</v>
      </c>
      <c r="E10" s="96">
        <f t="shared" si="13"/>
        <v>4.6011308663719143E-2</v>
      </c>
      <c r="F10" s="102">
        <f>E10</f>
        <v>4.6011308663719143E-2</v>
      </c>
      <c r="G10" s="84">
        <f>F10</f>
        <v>4.6011308663719143E-2</v>
      </c>
      <c r="H10" s="84">
        <f t="shared" ref="H10:M10" si="14">G10</f>
        <v>4.6011308663719143E-2</v>
      </c>
      <c r="I10" s="84">
        <f t="shared" si="14"/>
        <v>4.6011308663719143E-2</v>
      </c>
      <c r="J10" s="84">
        <f t="shared" si="14"/>
        <v>4.6011308663719143E-2</v>
      </c>
      <c r="K10" s="84">
        <f t="shared" si="14"/>
        <v>4.6011308663719143E-2</v>
      </c>
      <c r="L10" s="84">
        <f t="shared" si="14"/>
        <v>4.6011308663719143E-2</v>
      </c>
      <c r="M10" s="84">
        <f t="shared" si="14"/>
        <v>4.6011308663719143E-2</v>
      </c>
    </row>
    <row r="11" spans="1:21" ht="17">
      <c r="A11" s="98" t="s">
        <v>110</v>
      </c>
      <c r="B11" s="94">
        <v>838962</v>
      </c>
      <c r="C11" s="94">
        <v>1099676</v>
      </c>
      <c r="D11" s="94">
        <v>1338144</v>
      </c>
      <c r="E11" s="94">
        <v>1551285</v>
      </c>
      <c r="F11" s="100">
        <f>F2*F12</f>
        <v>1642131.04347923</v>
      </c>
      <c r="G11" s="79">
        <f>G2*G12</f>
        <v>1794665.8037087349</v>
      </c>
      <c r="H11" s="79">
        <f t="shared" ref="H11:M11" si="15">H2*H12</f>
        <v>1945321.8977045522</v>
      </c>
      <c r="I11" s="79">
        <f t="shared" si="15"/>
        <v>2089427.1998068832</v>
      </c>
      <c r="J11" s="79">
        <f t="shared" si="15"/>
        <v>2225799.549147726</v>
      </c>
      <c r="K11" s="79">
        <f t="shared" si="15"/>
        <v>2369121.4871055475</v>
      </c>
      <c r="L11" s="79">
        <f t="shared" si="15"/>
        <v>2498328.9229706782</v>
      </c>
      <c r="M11" s="79">
        <f t="shared" si="15"/>
        <v>2632034.6071535172</v>
      </c>
    </row>
    <row r="12" spans="1:21" ht="17">
      <c r="A12" s="101" t="s">
        <v>77</v>
      </c>
      <c r="B12" s="96">
        <f>B11/B$2</f>
        <v>0.32454859010325676</v>
      </c>
      <c r="C12" s="96">
        <f t="shared" ref="C12:E12" si="16">C11/C$2</f>
        <v>0.30381121907568315</v>
      </c>
      <c r="D12" s="96">
        <f t="shared" si="16"/>
        <v>0.31090222340869694</v>
      </c>
      <c r="E12" s="96">
        <f t="shared" si="16"/>
        <v>0.32387402425038819</v>
      </c>
      <c r="F12" s="102">
        <f>AVERAGE(B12:E12)</f>
        <v>0.31578401420950625</v>
      </c>
      <c r="G12" s="84">
        <f>F12</f>
        <v>0.31578401420950625</v>
      </c>
      <c r="H12" s="84">
        <f t="shared" ref="H12:M12" si="17">G12</f>
        <v>0.31578401420950625</v>
      </c>
      <c r="I12" s="84">
        <f t="shared" si="17"/>
        <v>0.31578401420950625</v>
      </c>
      <c r="J12" s="84">
        <f t="shared" si="17"/>
        <v>0.31578401420950625</v>
      </c>
      <c r="K12" s="84">
        <f t="shared" si="17"/>
        <v>0.31578401420950625</v>
      </c>
      <c r="L12" s="84">
        <f t="shared" si="17"/>
        <v>0.31578401420950625</v>
      </c>
      <c r="M12" s="84">
        <f t="shared" si="17"/>
        <v>0.31578401420950625</v>
      </c>
    </row>
    <row r="13" spans="1:21" ht="17">
      <c r="A13" s="98" t="s">
        <v>3</v>
      </c>
      <c r="B13" s="94">
        <v>556331</v>
      </c>
      <c r="C13" s="94">
        <v>834800</v>
      </c>
      <c r="D13" s="94">
        <v>966364</v>
      </c>
      <c r="E13" s="94">
        <v>1057717</v>
      </c>
      <c r="F13" s="100">
        <f>F2*F14</f>
        <v>1158596.2772614812</v>
      </c>
      <c r="G13" s="79">
        <f>G2*G14</f>
        <v>1266216.3152947687</v>
      </c>
      <c r="H13" s="79">
        <f t="shared" ref="H13:M13" si="18">H2*H14</f>
        <v>1372510.8709841163</v>
      </c>
      <c r="I13" s="79">
        <f t="shared" si="18"/>
        <v>1474183.5524746627</v>
      </c>
      <c r="J13" s="79">
        <f t="shared" si="18"/>
        <v>1570400.292846943</v>
      </c>
      <c r="K13" s="79">
        <f t="shared" si="18"/>
        <v>1671520.2761924942</v>
      </c>
      <c r="L13" s="79">
        <f t="shared" si="18"/>
        <v>1762681.8523543274</v>
      </c>
      <c r="M13" s="79">
        <f t="shared" si="18"/>
        <v>1857017.142194974</v>
      </c>
    </row>
    <row r="14" spans="1:21" ht="17">
      <c r="A14" s="101" t="s">
        <v>77</v>
      </c>
      <c r="B14" s="96">
        <f>B13/B$2</f>
        <v>0.2152140879810229</v>
      </c>
      <c r="C14" s="96">
        <f t="shared" ref="C14:E14" si="19">C13/C$2</f>
        <v>0.23063302798677093</v>
      </c>
      <c r="D14" s="96">
        <f t="shared" si="19"/>
        <v>0.22452345653541175</v>
      </c>
      <c r="E14" s="96">
        <f t="shared" si="19"/>
        <v>0.22082793381490043</v>
      </c>
      <c r="F14" s="102">
        <f>AVERAGE(B14:E14)</f>
        <v>0.22279962657952648</v>
      </c>
      <c r="G14" s="84">
        <f>F14</f>
        <v>0.22279962657952648</v>
      </c>
      <c r="H14" s="84">
        <f t="shared" ref="H14:M14" si="20">G14</f>
        <v>0.22279962657952648</v>
      </c>
      <c r="I14" s="84">
        <f t="shared" si="20"/>
        <v>0.22279962657952648</v>
      </c>
      <c r="J14" s="84">
        <f t="shared" si="20"/>
        <v>0.22279962657952648</v>
      </c>
      <c r="K14" s="84">
        <f t="shared" si="20"/>
        <v>0.22279962657952648</v>
      </c>
      <c r="L14" s="84">
        <f t="shared" si="20"/>
        <v>0.22279962657952648</v>
      </c>
      <c r="M14" s="84">
        <f t="shared" si="20"/>
        <v>0.22279962657952648</v>
      </c>
    </row>
    <row r="15" spans="1:21">
      <c r="A15" s="17"/>
      <c r="B15" s="16"/>
      <c r="C15" s="16"/>
      <c r="D15" s="16"/>
      <c r="E15" s="16"/>
      <c r="F15" s="33"/>
      <c r="G15" s="4"/>
      <c r="H15" s="4"/>
      <c r="I15" s="4"/>
      <c r="J15" s="4"/>
      <c r="K15" s="4"/>
      <c r="L15" s="4"/>
      <c r="M15" s="4"/>
    </row>
    <row r="16" spans="1:21" ht="17">
      <c r="A16" s="98" t="s">
        <v>80</v>
      </c>
      <c r="B16" s="94">
        <f>B13+B11+B9</f>
        <v>1533528</v>
      </c>
      <c r="C16" s="94">
        <f t="shared" ref="C16:F16" si="21">C13+C11+C9</f>
        <v>2156139</v>
      </c>
      <c r="D16" s="94">
        <f t="shared" si="21"/>
        <v>2522193</v>
      </c>
      <c r="E16" s="94">
        <f t="shared" si="21"/>
        <v>2829386</v>
      </c>
      <c r="F16" s="105">
        <f t="shared" si="21"/>
        <v>3039994.0185719389</v>
      </c>
      <c r="G16" s="97">
        <f t="shared" ref="G16:M16" si="22">G13+G11+G9</f>
        <v>3322373.8935297467</v>
      </c>
      <c r="H16" s="97">
        <f t="shared" si="22"/>
        <v>3601275.8888530508</v>
      </c>
      <c r="I16" s="97">
        <f t="shared" si="22"/>
        <v>3868050.7349745985</v>
      </c>
      <c r="J16" s="97">
        <f t="shared" si="22"/>
        <v>4120509.9573618704</v>
      </c>
      <c r="K16" s="97">
        <f t="shared" si="22"/>
        <v>4385834.6011240333</v>
      </c>
      <c r="L16" s="97">
        <f t="shared" si="22"/>
        <v>4625029.7821327308</v>
      </c>
      <c r="M16" s="97">
        <f t="shared" si="22"/>
        <v>4872552.3423930323</v>
      </c>
    </row>
    <row r="17" spans="1:21" s="6" customFormat="1" ht="17">
      <c r="A17" s="103" t="s">
        <v>4</v>
      </c>
      <c r="B17" s="106">
        <f>B6-B16</f>
        <v>351578</v>
      </c>
      <c r="C17" s="106">
        <f t="shared" ref="C17:G17" si="23">C6-C16</f>
        <v>536495</v>
      </c>
      <c r="D17" s="106">
        <f t="shared" si="23"/>
        <v>692970</v>
      </c>
      <c r="E17" s="106">
        <f t="shared" si="23"/>
        <v>758714</v>
      </c>
      <c r="F17" s="107">
        <f t="shared" si="23"/>
        <v>855537.59210863756</v>
      </c>
      <c r="G17" s="107">
        <f t="shared" si="23"/>
        <v>935007.02422114834</v>
      </c>
      <c r="H17" s="107">
        <f t="shared" ref="H17" si="24">H6-H16</f>
        <v>1013497.6857341211</v>
      </c>
      <c r="I17" s="107">
        <f t="shared" ref="I17" si="25">I6-I16</f>
        <v>1088575.4352598256</v>
      </c>
      <c r="J17" s="107">
        <f t="shared" ref="J17" si="26">J6-J16</f>
        <v>1159624.3761154022</v>
      </c>
      <c r="K17" s="107">
        <f t="shared" ref="K17" si="27">K6-K16</f>
        <v>1234293.9989714343</v>
      </c>
      <c r="L17" s="107">
        <f t="shared" ref="L17" si="28">L6-L16</f>
        <v>1301610.0752380257</v>
      </c>
      <c r="M17" s="107">
        <f t="shared" ref="M17" si="29">M6-M16</f>
        <v>1371269.7041399078</v>
      </c>
      <c r="N17" s="19"/>
      <c r="O17" s="19"/>
      <c r="P17" s="19"/>
      <c r="Q17" s="19"/>
      <c r="R17" s="19"/>
      <c r="S17" s="19"/>
      <c r="T17" s="19"/>
      <c r="U17" s="19"/>
    </row>
    <row r="18" spans="1:21" ht="17">
      <c r="A18" s="101" t="s">
        <v>76</v>
      </c>
      <c r="B18" s="94"/>
      <c r="C18" s="96">
        <f>C17/B17-1</f>
        <v>0.52596294421152634</v>
      </c>
      <c r="D18" s="96">
        <f t="shared" ref="D18:G18" si="30">D17/C17-1</f>
        <v>0.29166161846801919</v>
      </c>
      <c r="E18" s="96">
        <f t="shared" si="30"/>
        <v>9.487279391604253E-2</v>
      </c>
      <c r="F18" s="102">
        <f t="shared" si="30"/>
        <v>0.12761540199421328</v>
      </c>
      <c r="G18" s="82">
        <f t="shared" si="30"/>
        <v>9.2888299527134732E-2</v>
      </c>
      <c r="H18" s="82">
        <f t="shared" ref="H18" si="31">H17/G17-1</f>
        <v>8.3946600912816471E-2</v>
      </c>
      <c r="I18" s="82">
        <f t="shared" ref="I18" si="32">I17/H17-1</f>
        <v>7.4077869720365674E-2</v>
      </c>
      <c r="J18" s="82">
        <f t="shared" ref="J18" si="33">J17/I17-1</f>
        <v>6.5267815673810903E-2</v>
      </c>
      <c r="K18" s="82">
        <f t="shared" ref="K18" si="34">K17/J17-1</f>
        <v>6.4391215288321257E-2</v>
      </c>
      <c r="L18" s="82">
        <f t="shared" ref="L18" si="35">L17/K17-1</f>
        <v>5.4538121649045923E-2</v>
      </c>
      <c r="M18" s="82">
        <f t="shared" ref="M18" si="36">M17/L17-1</f>
        <v>5.3518046784589712E-2</v>
      </c>
    </row>
    <row r="19" spans="1:21" ht="17">
      <c r="A19" s="98" t="s">
        <v>111</v>
      </c>
      <c r="B19" s="94">
        <v>34951</v>
      </c>
      <c r="C19" s="94">
        <v>-43528</v>
      </c>
      <c r="D19" s="94">
        <v>-13764</v>
      </c>
      <c r="E19" s="94">
        <v>-146626</v>
      </c>
      <c r="F19" s="100">
        <v>0</v>
      </c>
      <c r="G19" s="100">
        <v>0</v>
      </c>
      <c r="H19" s="100">
        <v>0</v>
      </c>
      <c r="I19" s="100">
        <v>0</v>
      </c>
      <c r="J19" s="100">
        <v>0</v>
      </c>
      <c r="K19" s="100">
        <v>0</v>
      </c>
      <c r="L19" s="100">
        <v>0</v>
      </c>
      <c r="M19" s="100">
        <v>0</v>
      </c>
    </row>
    <row r="20" spans="1:21" ht="17">
      <c r="A20" s="98" t="s">
        <v>83</v>
      </c>
      <c r="B20" s="94"/>
      <c r="C20" s="94"/>
      <c r="D20" s="94"/>
      <c r="E20" s="94"/>
      <c r="F20" s="100">
        <f>-'CapEx Readjustments'!F10</f>
        <v>-43058.99326951187</v>
      </c>
      <c r="G20" s="100">
        <f>-'CapEx Readjustments'!G10</f>
        <v>-47058.669933667159</v>
      </c>
      <c r="H20" s="100">
        <f>-'CapEx Readjustments'!H10</f>
        <v>-51009.085318076701</v>
      </c>
      <c r="I20" s="100">
        <f>-'CapEx Readjustments'!I10</f>
        <v>-54787.729694824178</v>
      </c>
      <c r="J20" s="100">
        <f>-'CapEx Readjustments'!J10</f>
        <v>-58363.605137732549</v>
      </c>
      <c r="K20" s="100">
        <f>-'CapEx Readjustments'!K10</f>
        <v>-62121.708601158898</v>
      </c>
      <c r="L20" s="100">
        <f>-'CapEx Readjustments'!L10</f>
        <v>-65509.709901895483</v>
      </c>
      <c r="M20" s="100">
        <f>-'CapEx Readjustments'!M10</f>
        <v>-69015.661621270046</v>
      </c>
    </row>
    <row r="21" spans="1:21" s="6" customFormat="1" ht="17">
      <c r="A21" s="103" t="s">
        <v>112</v>
      </c>
      <c r="B21" s="106">
        <f>B17+B19</f>
        <v>386529</v>
      </c>
      <c r="C21" s="106">
        <f>C17+C19</f>
        <v>492967</v>
      </c>
      <c r="D21" s="106">
        <f>D17+D19</f>
        <v>679206</v>
      </c>
      <c r="E21" s="106">
        <f>E17+E19</f>
        <v>612088</v>
      </c>
      <c r="F21" s="107">
        <f>F17+F19+F20</f>
        <v>812478.59883912571</v>
      </c>
      <c r="G21" s="107">
        <f t="shared" ref="G21:M21" si="37">G17+G19+G20</f>
        <v>887948.35428748117</v>
      </c>
      <c r="H21" s="107">
        <f t="shared" si="37"/>
        <v>962488.60041604447</v>
      </c>
      <c r="I21" s="107">
        <f t="shared" si="37"/>
        <v>1033787.7055650013</v>
      </c>
      <c r="J21" s="107">
        <f t="shared" si="37"/>
        <v>1101260.7709776696</v>
      </c>
      <c r="K21" s="107">
        <f t="shared" si="37"/>
        <v>1172172.2903702755</v>
      </c>
      <c r="L21" s="107">
        <f t="shared" si="37"/>
        <v>1236100.3653361304</v>
      </c>
      <c r="M21" s="107">
        <f t="shared" si="37"/>
        <v>1302254.0425186378</v>
      </c>
      <c r="N21" s="19"/>
      <c r="O21" s="19"/>
      <c r="P21" s="19"/>
      <c r="Q21" s="19"/>
      <c r="R21" s="19"/>
      <c r="S21" s="19"/>
      <c r="T21" s="19"/>
      <c r="U21" s="19"/>
    </row>
    <row r="22" spans="1:21" ht="17">
      <c r="A22" s="101" t="s">
        <v>76</v>
      </c>
      <c r="B22" s="94"/>
      <c r="C22" s="96">
        <f>C21/B21-1</f>
        <v>0.27536873041867493</v>
      </c>
      <c r="D22" s="96">
        <f t="shared" ref="D22:G22" si="38">D21/C21-1</f>
        <v>0.37779202258974731</v>
      </c>
      <c r="E22" s="96">
        <f t="shared" si="38"/>
        <v>-9.8818326104304188E-2</v>
      </c>
      <c r="F22" s="102">
        <f t="shared" si="38"/>
        <v>0.32738854354133018</v>
      </c>
      <c r="G22" s="82">
        <f t="shared" si="38"/>
        <v>9.2888299527134732E-2</v>
      </c>
      <c r="H22" s="82">
        <f t="shared" ref="H22" si="39">H21/G21-1</f>
        <v>8.3946600912816471E-2</v>
      </c>
      <c r="I22" s="82">
        <f t="shared" ref="I22" si="40">I21/H21-1</f>
        <v>7.4077869720365674E-2</v>
      </c>
      <c r="J22" s="82">
        <f t="shared" ref="J22" si="41">J21/I21-1</f>
        <v>6.5267815673810681E-2</v>
      </c>
      <c r="K22" s="82">
        <f t="shared" ref="K22" si="42">K21/J21-1</f>
        <v>6.4391215288321257E-2</v>
      </c>
      <c r="L22" s="82">
        <f t="shared" ref="L22" si="43">L21/K21-1</f>
        <v>5.4538121649045923E-2</v>
      </c>
      <c r="M22" s="82">
        <f t="shared" ref="M22" si="44">M21/L21-1</f>
        <v>5.3518046784589712E-2</v>
      </c>
    </row>
    <row r="23" spans="1:21" ht="17">
      <c r="A23" s="98" t="s">
        <v>113</v>
      </c>
      <c r="B23" s="94">
        <v>-62362</v>
      </c>
      <c r="C23" s="94">
        <v>-34864</v>
      </c>
      <c r="D23" s="94">
        <v>-87403</v>
      </c>
      <c r="E23" s="94">
        <v>19358</v>
      </c>
      <c r="F23" s="100">
        <v>0</v>
      </c>
      <c r="G23" s="79">
        <v>0</v>
      </c>
      <c r="H23" s="79">
        <v>0</v>
      </c>
      <c r="I23" s="79">
        <v>0</v>
      </c>
      <c r="J23" s="79">
        <v>0</v>
      </c>
      <c r="K23" s="79">
        <v>0</v>
      </c>
      <c r="L23" s="79">
        <v>0</v>
      </c>
      <c r="M23" s="79">
        <v>0</v>
      </c>
    </row>
    <row r="24" spans="1:21" ht="34">
      <c r="A24" s="98" t="s">
        <v>444</v>
      </c>
      <c r="B24" s="94">
        <v>28494</v>
      </c>
      <c r="C24" s="94">
        <v>55621</v>
      </c>
      <c r="D24" s="94">
        <v>51347</v>
      </c>
      <c r="E24" s="94">
        <v>61060</v>
      </c>
      <c r="F24" s="100">
        <v>0</v>
      </c>
      <c r="G24" s="79">
        <v>0</v>
      </c>
      <c r="H24" s="79">
        <v>0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</row>
    <row r="25" spans="1:21" s="6" customFormat="1" ht="17">
      <c r="A25" s="103" t="s">
        <v>445</v>
      </c>
      <c r="B25" s="106">
        <f>B21+B23+B24</f>
        <v>352661</v>
      </c>
      <c r="C25" s="106">
        <f t="shared" ref="C25:M25" si="45">C21+C23+C24</f>
        <v>513724</v>
      </c>
      <c r="D25" s="106">
        <f t="shared" si="45"/>
        <v>643150</v>
      </c>
      <c r="E25" s="106">
        <f t="shared" si="45"/>
        <v>692506</v>
      </c>
      <c r="F25" s="107">
        <f>F21+F23+F24</f>
        <v>812478.59883912571</v>
      </c>
      <c r="G25" s="107">
        <f t="shared" si="45"/>
        <v>887948.35428748117</v>
      </c>
      <c r="H25" s="107">
        <f t="shared" si="45"/>
        <v>962488.60041604447</v>
      </c>
      <c r="I25" s="107">
        <f t="shared" si="45"/>
        <v>1033787.7055650013</v>
      </c>
      <c r="J25" s="107">
        <f t="shared" si="45"/>
        <v>1101260.7709776696</v>
      </c>
      <c r="K25" s="107">
        <f t="shared" si="45"/>
        <v>1172172.2903702755</v>
      </c>
      <c r="L25" s="107">
        <f t="shared" si="45"/>
        <v>1236100.3653361304</v>
      </c>
      <c r="M25" s="107">
        <f t="shared" si="45"/>
        <v>1302254.0425186378</v>
      </c>
      <c r="N25" s="19"/>
      <c r="O25" s="19"/>
      <c r="P25" s="19"/>
      <c r="Q25" s="19"/>
      <c r="R25" s="19"/>
      <c r="S25" s="19"/>
      <c r="T25" s="19"/>
      <c r="U25" s="19"/>
    </row>
    <row r="26" spans="1:21" ht="17">
      <c r="A26" s="101" t="s">
        <v>76</v>
      </c>
      <c r="B26" s="94"/>
      <c r="C26" s="96">
        <f>C25/B25-1</f>
        <v>0.45670771647559549</v>
      </c>
      <c r="D26" s="96">
        <f t="shared" ref="D26:G26" si="46">D25/C25-1</f>
        <v>0.25193683767937647</v>
      </c>
      <c r="E26" s="96">
        <f t="shared" si="46"/>
        <v>7.6741040192801036E-2</v>
      </c>
      <c r="F26" s="102">
        <f t="shared" si="46"/>
        <v>0.17324412906043518</v>
      </c>
      <c r="G26" s="82">
        <f t="shared" si="46"/>
        <v>9.2888299527134732E-2</v>
      </c>
      <c r="H26" s="82">
        <f t="shared" ref="H26" si="47">H25/G25-1</f>
        <v>8.3946600912816471E-2</v>
      </c>
      <c r="I26" s="82">
        <f t="shared" ref="I26" si="48">I25/H25-1</f>
        <v>7.4077869720365674E-2</v>
      </c>
      <c r="J26" s="82">
        <f t="shared" ref="J26" si="49">J25/I25-1</f>
        <v>6.5267815673810681E-2</v>
      </c>
      <c r="K26" s="82">
        <f t="shared" ref="K26" si="50">K25/J25-1</f>
        <v>6.4391215288321257E-2</v>
      </c>
      <c r="L26" s="82">
        <f t="shared" ref="L26" si="51">L25/K25-1</f>
        <v>5.4538121649045923E-2</v>
      </c>
      <c r="M26" s="82">
        <f t="shared" ref="M26" si="52">M25/L25-1</f>
        <v>5.3518046784589712E-2</v>
      </c>
    </row>
    <row r="27" spans="1:21" ht="17">
      <c r="A27" s="98" t="s">
        <v>114</v>
      </c>
      <c r="B27" s="94">
        <v>153745</v>
      </c>
      <c r="C27" s="94">
        <v>101201</v>
      </c>
      <c r="D27" s="94">
        <v>143262</v>
      </c>
      <c r="E27" s="94">
        <v>149973</v>
      </c>
      <c r="F27" s="100">
        <f>F25*F28</f>
        <v>203119.64970978143</v>
      </c>
      <c r="G27" s="79">
        <f>G25*G28</f>
        <v>221987.08857187029</v>
      </c>
      <c r="H27" s="79">
        <f t="shared" ref="H27:M27" si="53">H25*H28</f>
        <v>240622.15010401112</v>
      </c>
      <c r="I27" s="79">
        <f t="shared" si="53"/>
        <v>258446.92639125034</v>
      </c>
      <c r="J27" s="79">
        <f t="shared" si="53"/>
        <v>275315.19274441741</v>
      </c>
      <c r="K27" s="79">
        <f t="shared" si="53"/>
        <v>293043.07259256887</v>
      </c>
      <c r="L27" s="79">
        <f t="shared" si="53"/>
        <v>309025.09133403259</v>
      </c>
      <c r="M27" s="79">
        <f t="shared" si="53"/>
        <v>325563.51062965946</v>
      </c>
    </row>
    <row r="28" spans="1:21" ht="17">
      <c r="A28" s="98" t="s">
        <v>81</v>
      </c>
      <c r="B28" s="96">
        <f>B27/B25</f>
        <v>0.43595691046075408</v>
      </c>
      <c r="C28" s="96">
        <f t="shared" ref="C28:E28" si="54">C27/C25</f>
        <v>0.19699488441264182</v>
      </c>
      <c r="D28" s="96">
        <f t="shared" si="54"/>
        <v>0.22275052476094223</v>
      </c>
      <c r="E28" s="96">
        <f t="shared" si="54"/>
        <v>0.21656563264433809</v>
      </c>
      <c r="F28" s="102">
        <v>0.25</v>
      </c>
      <c r="G28" s="84">
        <v>0.25</v>
      </c>
      <c r="H28" s="84">
        <v>0.25</v>
      </c>
      <c r="I28" s="84">
        <v>0.25</v>
      </c>
      <c r="J28" s="84">
        <v>0.25</v>
      </c>
      <c r="K28" s="84">
        <v>0.25</v>
      </c>
      <c r="L28" s="84">
        <v>0.25</v>
      </c>
      <c r="M28" s="84">
        <v>0.25</v>
      </c>
    </row>
    <row r="29" spans="1:21" s="6" customFormat="1" ht="17">
      <c r="A29" s="103" t="s">
        <v>446</v>
      </c>
      <c r="B29" s="106">
        <f>B25-B27</f>
        <v>198916</v>
      </c>
      <c r="C29" s="106">
        <f t="shared" ref="C29:G29" si="55">C25-C27</f>
        <v>412523</v>
      </c>
      <c r="D29" s="106">
        <f t="shared" si="55"/>
        <v>499888</v>
      </c>
      <c r="E29" s="106">
        <f t="shared" si="55"/>
        <v>542533</v>
      </c>
      <c r="F29" s="107">
        <f t="shared" si="55"/>
        <v>609358.94912934431</v>
      </c>
      <c r="G29" s="107">
        <f t="shared" si="55"/>
        <v>665961.26571561093</v>
      </c>
      <c r="H29" s="107">
        <f t="shared" ref="H29" si="56">H25-H27</f>
        <v>721866.4503120333</v>
      </c>
      <c r="I29" s="107">
        <f t="shared" ref="I29" si="57">I25-I27</f>
        <v>775340.77917375101</v>
      </c>
      <c r="J29" s="107">
        <f t="shared" ref="J29" si="58">J25-J27</f>
        <v>825945.57823325228</v>
      </c>
      <c r="K29" s="107">
        <f t="shared" ref="K29" si="59">K25-K27</f>
        <v>879129.21777770668</v>
      </c>
      <c r="L29" s="107">
        <f t="shared" ref="L29" si="60">L25-L27</f>
        <v>927075.27400209778</v>
      </c>
      <c r="M29" s="107">
        <f t="shared" ref="M29" si="61">M25-M27</f>
        <v>976690.53188897832</v>
      </c>
      <c r="N29" s="19"/>
      <c r="O29" s="19"/>
      <c r="P29" s="19"/>
      <c r="Q29" s="19"/>
      <c r="R29" s="19"/>
      <c r="S29" s="19"/>
      <c r="T29" s="19"/>
      <c r="U29" s="19"/>
    </row>
    <row r="30" spans="1:21" ht="17">
      <c r="A30" s="98" t="s">
        <v>447</v>
      </c>
      <c r="B30" s="94">
        <v>22123</v>
      </c>
      <c r="C30" s="94">
        <v>-13033</v>
      </c>
      <c r="D30" s="94">
        <v>-34679</v>
      </c>
      <c r="E30" s="94">
        <v>-11884</v>
      </c>
      <c r="F30" s="100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</row>
    <row r="31" spans="1:21" s="6" customFormat="1" ht="17">
      <c r="A31" s="103" t="s">
        <v>448</v>
      </c>
      <c r="B31" s="106">
        <f>B29+B30</f>
        <v>221039</v>
      </c>
      <c r="C31" s="106">
        <f t="shared" ref="C31:M31" si="62">C29+C30</f>
        <v>399490</v>
      </c>
      <c r="D31" s="106">
        <f t="shared" si="62"/>
        <v>465209</v>
      </c>
      <c r="E31" s="106">
        <f t="shared" si="62"/>
        <v>530649</v>
      </c>
      <c r="F31" s="107">
        <f t="shared" si="62"/>
        <v>609358.94912934431</v>
      </c>
      <c r="G31" s="107">
        <f t="shared" si="62"/>
        <v>665961.26571561093</v>
      </c>
      <c r="H31" s="107">
        <f t="shared" si="62"/>
        <v>721866.4503120333</v>
      </c>
      <c r="I31" s="107">
        <f t="shared" si="62"/>
        <v>775340.77917375101</v>
      </c>
      <c r="J31" s="107">
        <f t="shared" si="62"/>
        <v>825945.57823325228</v>
      </c>
      <c r="K31" s="107">
        <f t="shared" si="62"/>
        <v>879129.21777770668</v>
      </c>
      <c r="L31" s="107">
        <f t="shared" si="62"/>
        <v>927075.27400209778</v>
      </c>
      <c r="M31" s="107">
        <f t="shared" si="62"/>
        <v>976690.53188897832</v>
      </c>
      <c r="N31" s="19"/>
      <c r="O31" s="19"/>
      <c r="P31" s="19"/>
      <c r="Q31" s="19"/>
      <c r="R31" s="19"/>
      <c r="S31" s="19"/>
      <c r="T31" s="19"/>
      <c r="U31" s="19"/>
    </row>
    <row r="32" spans="1:21" ht="17">
      <c r="A32" s="101" t="s">
        <v>76</v>
      </c>
      <c r="B32" s="94"/>
      <c r="C32" s="96">
        <f>C31/B31-1</f>
        <v>0.80732811856731157</v>
      </c>
      <c r="D32" s="96">
        <f t="shared" ref="D32:G32" si="63">D31/C31-1</f>
        <v>0.16450724673959294</v>
      </c>
      <c r="E32" s="96">
        <f t="shared" si="63"/>
        <v>0.140667957842604</v>
      </c>
      <c r="F32" s="102">
        <f t="shared" si="63"/>
        <v>0.14832770650532523</v>
      </c>
      <c r="G32" s="82">
        <f t="shared" si="63"/>
        <v>9.2888299527134732E-2</v>
      </c>
      <c r="H32" s="82">
        <f t="shared" ref="H32" si="64">H31/G31-1</f>
        <v>8.3946600912816249E-2</v>
      </c>
      <c r="I32" s="82">
        <f t="shared" ref="I32" si="65">I31/H31-1</f>
        <v>7.4077869720365896E-2</v>
      </c>
      <c r="J32" s="82">
        <f t="shared" ref="J32" si="66">J31/I31-1</f>
        <v>6.5267815673810903E-2</v>
      </c>
      <c r="K32" s="82">
        <f t="shared" ref="K32" si="67">K31/J31-1</f>
        <v>6.4391215288321257E-2</v>
      </c>
      <c r="L32" s="82">
        <f t="shared" ref="L32" si="68">L31/K31-1</f>
        <v>5.4538121649045923E-2</v>
      </c>
      <c r="M32" s="82">
        <f t="shared" ref="M32" si="69">M31/L31-1</f>
        <v>5.3518046784589712E-2</v>
      </c>
    </row>
    <row r="33" spans="1:21" s="6" customFormat="1" ht="17">
      <c r="A33" s="103" t="s">
        <v>147</v>
      </c>
      <c r="B33" s="106"/>
      <c r="C33" s="108"/>
      <c r="D33" s="108"/>
      <c r="E33" s="108"/>
      <c r="F33" s="78">
        <f>F31+'CapEx Readjustments'!F10-'CapEx Readjustments'!F13</f>
        <v>630741.62989885616</v>
      </c>
      <c r="G33" s="78">
        <f>G31+'CapEx Readjustments'!G10-'CapEx Readjustments'!G13</f>
        <v>685997.95295690012</v>
      </c>
      <c r="H33" s="78">
        <f>H31+'CapEx Readjustments'!H10-'CapEx Readjustments'!H13</f>
        <v>740844.38112740964</v>
      </c>
      <c r="I33" s="78">
        <f>I31+'CapEx Readjustments'!I10-'CapEx Readjustments'!I13</f>
        <v>793352.87166203081</v>
      </c>
      <c r="J33" s="78">
        <f>J31+'CapEx Readjustments'!J10-'CapEx Readjustments'!J13</f>
        <v>843030.52304237057</v>
      </c>
      <c r="K33" s="78">
        <f>K31+'CapEx Readjustments'!K10-'CapEx Readjustments'!K13</f>
        <v>895701.02984797175</v>
      </c>
      <c r="L33" s="78">
        <f>L31+'CapEx Readjustments'!L10-'CapEx Readjustments'!L13</f>
        <v>942892.13435553317</v>
      </c>
      <c r="M33" s="78">
        <f>M31+'CapEx Readjustments'!M10-'CapEx Readjustments'!M13</f>
        <v>992059.12887342938</v>
      </c>
      <c r="N33" s="19"/>
      <c r="O33" s="19"/>
      <c r="P33" s="19"/>
      <c r="Q33" s="19"/>
      <c r="R33" s="19"/>
      <c r="S33" s="19"/>
      <c r="T33" s="19"/>
      <c r="U33" s="19"/>
    </row>
    <row r="34" spans="1:21" s="32" customFormat="1">
      <c r="A34" s="29"/>
      <c r="B34" s="30"/>
      <c r="C34" s="30"/>
      <c r="D34" s="30"/>
      <c r="E34" s="30"/>
      <c r="F34" s="34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1">
      <c r="B35" s="15"/>
      <c r="C35" s="15"/>
      <c r="D35" s="15"/>
      <c r="E35" s="15"/>
      <c r="F35" s="23"/>
      <c r="G35" s="4"/>
      <c r="H35" s="4"/>
      <c r="I35" s="4"/>
      <c r="J35" s="4"/>
      <c r="K35" s="4"/>
      <c r="L35" s="4"/>
      <c r="M35" s="4"/>
    </row>
    <row r="36" spans="1:21" ht="17">
      <c r="A36" s="103" t="s">
        <v>5</v>
      </c>
      <c r="B36" s="99"/>
      <c r="C36" s="99"/>
      <c r="D36" s="99"/>
      <c r="E36" s="99"/>
      <c r="F36" s="100"/>
      <c r="G36" s="79"/>
      <c r="H36" s="79"/>
      <c r="I36" s="79"/>
      <c r="J36" s="79"/>
      <c r="K36" s="79"/>
      <c r="L36" s="79"/>
      <c r="M36" s="79"/>
    </row>
    <row r="37" spans="1:21" ht="17">
      <c r="A37" s="98" t="s">
        <v>115</v>
      </c>
      <c r="B37" s="94">
        <v>210971</v>
      </c>
      <c r="C37" s="94">
        <v>271094</v>
      </c>
      <c r="D37" s="94">
        <v>326341</v>
      </c>
      <c r="E37" s="94">
        <v>380356</v>
      </c>
      <c r="F37" s="100">
        <f t="shared" ref="F37:M37" si="70">E37-F119-F92</f>
        <v>485774.91337511875</v>
      </c>
      <c r="G37" s="100">
        <f t="shared" si="70"/>
        <v>583771.4845517925</v>
      </c>
      <c r="H37" s="100">
        <f t="shared" si="70"/>
        <v>675941.24989410851</v>
      </c>
      <c r="I37" s="100">
        <f t="shared" si="70"/>
        <v>762922.13434486825</v>
      </c>
      <c r="J37" s="100">
        <f t="shared" si="70"/>
        <v>845052.23781100428</v>
      </c>
      <c r="K37" s="100">
        <f t="shared" si="70"/>
        <v>924364.46752294665</v>
      </c>
      <c r="L37" s="100">
        <f t="shared" si="70"/>
        <v>999841.85993272683</v>
      </c>
      <c r="M37" s="100">
        <f t="shared" si="70"/>
        <v>1072970.9715619106</v>
      </c>
    </row>
    <row r="38" spans="1:21" ht="17">
      <c r="A38" s="98" t="s">
        <v>116</v>
      </c>
      <c r="B38" s="94">
        <v>2660758</v>
      </c>
      <c r="C38" s="94">
        <v>4062277</v>
      </c>
      <c r="D38" s="94">
        <v>4114267</v>
      </c>
      <c r="E38" s="94">
        <v>4705720</v>
      </c>
      <c r="F38" s="100">
        <f t="shared" ref="F38:M38" si="71">E38-F124-F94</f>
        <v>5038849.1180363735</v>
      </c>
      <c r="G38" s="100">
        <f t="shared" si="71"/>
        <v>5403831.3688456388</v>
      </c>
      <c r="H38" s="100">
        <f t="shared" si="71"/>
        <v>5799959.9845451191</v>
      </c>
      <c r="I38" s="100">
        <f t="shared" si="71"/>
        <v>6225469.4829306062</v>
      </c>
      <c r="J38" s="100">
        <f t="shared" si="71"/>
        <v>6678340.3775659204</v>
      </c>
      <c r="K38" s="100">
        <f t="shared" si="71"/>
        <v>7159917.3653071849</v>
      </c>
      <c r="L38" s="100">
        <f t="shared" si="71"/>
        <v>7666732.344922943</v>
      </c>
      <c r="M38" s="100">
        <f t="shared" si="71"/>
        <v>8199589.8612242704</v>
      </c>
    </row>
    <row r="39" spans="1:21" ht="17">
      <c r="A39" s="98" t="s">
        <v>144</v>
      </c>
      <c r="B39" s="94"/>
      <c r="C39" s="94"/>
      <c r="D39" s="94"/>
      <c r="E39" s="94"/>
      <c r="F39" s="100">
        <f>'CapEx Readjustments'!F14</f>
        <v>108087.93076951188</v>
      </c>
      <c r="G39" s="100">
        <f>'CapEx Readjustments'!G14</f>
        <v>128124.61801080107</v>
      </c>
      <c r="H39" s="100">
        <f>'CapEx Readjustments'!H14</f>
        <v>147102.54882617749</v>
      </c>
      <c r="I39" s="100">
        <f>'CapEx Readjustments'!I14</f>
        <v>165114.64131445729</v>
      </c>
      <c r="J39" s="100">
        <f>'CapEx Readjustments'!J14</f>
        <v>182199.58612357551</v>
      </c>
      <c r="K39" s="100">
        <f>'CapEx Readjustments'!K14</f>
        <v>198771.39819384055</v>
      </c>
      <c r="L39" s="100">
        <f>'CapEx Readjustments'!L14</f>
        <v>214588.25854727591</v>
      </c>
      <c r="M39" s="100">
        <f>'CapEx Readjustments'!M14</f>
        <v>229956.85553172696</v>
      </c>
    </row>
    <row r="40" spans="1:21" ht="17">
      <c r="A40" s="98" t="s">
        <v>117</v>
      </c>
      <c r="B40" s="94">
        <v>188653</v>
      </c>
      <c r="C40" s="94">
        <v>239873</v>
      </c>
      <c r="D40" s="94">
        <v>287922</v>
      </c>
      <c r="E40" s="94">
        <v>365076</v>
      </c>
      <c r="F40" s="100">
        <f t="shared" ref="F40:M40" si="72">E40-F96</f>
        <v>289155</v>
      </c>
      <c r="G40" s="100">
        <f t="shared" si="72"/>
        <v>229022.48853663346</v>
      </c>
      <c r="H40" s="100">
        <f t="shared" si="72"/>
        <v>181395.10039775347</v>
      </c>
      <c r="I40" s="100">
        <f t="shared" si="72"/>
        <v>143672.27715739299</v>
      </c>
      <c r="J40" s="100">
        <f t="shared" si="72"/>
        <v>113794.27105985046</v>
      </c>
      <c r="K40" s="100">
        <f t="shared" si="72"/>
        <v>90129.678336321915</v>
      </c>
      <c r="L40" s="100">
        <f t="shared" si="72"/>
        <v>71386.361029865453</v>
      </c>
      <c r="M40" s="100">
        <f t="shared" si="72"/>
        <v>56540.893467636175</v>
      </c>
    </row>
    <row r="41" spans="1:21" ht="17">
      <c r="A41" s="98" t="s">
        <v>118</v>
      </c>
      <c r="B41" s="94">
        <v>346456</v>
      </c>
      <c r="C41" s="94">
        <v>344824</v>
      </c>
      <c r="D41" s="94">
        <v>375212</v>
      </c>
      <c r="E41" s="94">
        <v>395190</v>
      </c>
      <c r="F41" s="100">
        <f t="shared" ref="F41:M41" si="73">E41+F125</f>
        <v>395190</v>
      </c>
      <c r="G41" s="100">
        <f t="shared" si="73"/>
        <v>395190</v>
      </c>
      <c r="H41" s="100">
        <f t="shared" si="73"/>
        <v>395190</v>
      </c>
      <c r="I41" s="100">
        <f t="shared" si="73"/>
        <v>395190</v>
      </c>
      <c r="J41" s="100">
        <f t="shared" si="73"/>
        <v>395190</v>
      </c>
      <c r="K41" s="100">
        <f t="shared" si="73"/>
        <v>395190</v>
      </c>
      <c r="L41" s="100">
        <f t="shared" si="73"/>
        <v>395190</v>
      </c>
      <c r="M41" s="100">
        <f t="shared" si="73"/>
        <v>395190</v>
      </c>
    </row>
    <row r="42" spans="1:21" ht="17">
      <c r="A42" s="98" t="s">
        <v>119</v>
      </c>
      <c r="B42" s="94">
        <v>9595</v>
      </c>
      <c r="C42" s="94">
        <v>14154</v>
      </c>
      <c r="D42" s="94">
        <v>16359</v>
      </c>
      <c r="E42" s="109">
        <v>689</v>
      </c>
      <c r="F42" s="100">
        <f t="shared" ref="F42:M42" si="74">E42+F123</f>
        <v>689</v>
      </c>
      <c r="G42" s="100">
        <f t="shared" si="74"/>
        <v>689</v>
      </c>
      <c r="H42" s="100">
        <f t="shared" si="74"/>
        <v>689</v>
      </c>
      <c r="I42" s="100">
        <f t="shared" si="74"/>
        <v>689</v>
      </c>
      <c r="J42" s="100">
        <f t="shared" si="74"/>
        <v>689</v>
      </c>
      <c r="K42" s="100">
        <f t="shared" si="74"/>
        <v>689</v>
      </c>
      <c r="L42" s="100">
        <f t="shared" si="74"/>
        <v>689</v>
      </c>
      <c r="M42" s="100">
        <f t="shared" si="74"/>
        <v>689</v>
      </c>
    </row>
    <row r="43" spans="1:21" ht="17">
      <c r="A43" s="98" t="s">
        <v>120</v>
      </c>
      <c r="B43" s="94">
        <v>62637</v>
      </c>
      <c r="C43" s="94">
        <v>102615</v>
      </c>
      <c r="D43" s="94">
        <v>131444</v>
      </c>
      <c r="E43" s="94">
        <v>130865</v>
      </c>
      <c r="F43" s="100">
        <f>E43</f>
        <v>130865</v>
      </c>
      <c r="G43" s="100">
        <f t="shared" ref="G43:M43" si="75">F43</f>
        <v>130865</v>
      </c>
      <c r="H43" s="100">
        <f t="shared" si="75"/>
        <v>130865</v>
      </c>
      <c r="I43" s="100">
        <f t="shared" si="75"/>
        <v>130865</v>
      </c>
      <c r="J43" s="100">
        <f t="shared" si="75"/>
        <v>130865</v>
      </c>
      <c r="K43" s="100">
        <f t="shared" si="75"/>
        <v>130865</v>
      </c>
      <c r="L43" s="100">
        <f t="shared" si="75"/>
        <v>130865</v>
      </c>
      <c r="M43" s="100">
        <f t="shared" si="75"/>
        <v>130865</v>
      </c>
    </row>
    <row r="44" spans="1:21" ht="17">
      <c r="A44" s="98" t="s">
        <v>121</v>
      </c>
      <c r="B44" s="94">
        <v>85066</v>
      </c>
      <c r="C44" s="94">
        <v>123897</v>
      </c>
      <c r="D44" s="94">
        <v>146562</v>
      </c>
      <c r="E44" s="94">
        <v>171826</v>
      </c>
      <c r="F44" s="100">
        <f>E44</f>
        <v>171826</v>
      </c>
      <c r="G44" s="100">
        <f t="shared" ref="G44:M44" si="76">F44</f>
        <v>171826</v>
      </c>
      <c r="H44" s="100">
        <f t="shared" si="76"/>
        <v>171826</v>
      </c>
      <c r="I44" s="100">
        <f t="shared" si="76"/>
        <v>171826</v>
      </c>
      <c r="J44" s="100">
        <f t="shared" si="76"/>
        <v>171826</v>
      </c>
      <c r="K44" s="100">
        <f t="shared" si="76"/>
        <v>171826</v>
      </c>
      <c r="L44" s="100">
        <f t="shared" si="76"/>
        <v>171826</v>
      </c>
      <c r="M44" s="100">
        <f t="shared" si="76"/>
        <v>171826</v>
      </c>
    </row>
    <row r="45" spans="1:21" s="6" customFormat="1" ht="17">
      <c r="A45" s="103" t="s">
        <v>6</v>
      </c>
      <c r="B45" s="104">
        <f t="shared" ref="B45:M45" si="77">SUM(B37:B44)</f>
        <v>3564136</v>
      </c>
      <c r="C45" s="104">
        <f t="shared" si="77"/>
        <v>5158734</v>
      </c>
      <c r="D45" s="104">
        <f t="shared" si="77"/>
        <v>5398107</v>
      </c>
      <c r="E45" s="104">
        <f t="shared" si="77"/>
        <v>6149722</v>
      </c>
      <c r="F45" s="80">
        <f t="shared" si="77"/>
        <v>6620436.9621810038</v>
      </c>
      <c r="G45" s="80">
        <f t="shared" si="77"/>
        <v>7043319.9599448657</v>
      </c>
      <c r="H45" s="80">
        <f t="shared" si="77"/>
        <v>7502968.8836631589</v>
      </c>
      <c r="I45" s="80">
        <f t="shared" si="77"/>
        <v>7995748.535747325</v>
      </c>
      <c r="J45" s="80">
        <f t="shared" si="77"/>
        <v>8517956.4725603499</v>
      </c>
      <c r="K45" s="80">
        <f t="shared" si="77"/>
        <v>9071752.9093602933</v>
      </c>
      <c r="L45" s="80">
        <f t="shared" si="77"/>
        <v>9651118.8244328108</v>
      </c>
      <c r="M45" s="80">
        <f t="shared" si="77"/>
        <v>10257628.581785543</v>
      </c>
      <c r="N45" s="19"/>
      <c r="O45" s="19"/>
      <c r="P45" s="19"/>
      <c r="Q45" s="19"/>
      <c r="R45" s="19"/>
      <c r="S45" s="19"/>
      <c r="T45" s="19"/>
      <c r="U45" s="19"/>
    </row>
    <row r="46" spans="1:21" ht="17">
      <c r="A46" s="98" t="s">
        <v>7</v>
      </c>
      <c r="B46" s="94">
        <v>363134</v>
      </c>
      <c r="C46" s="94">
        <v>626333</v>
      </c>
      <c r="D46" s="94">
        <v>788866</v>
      </c>
      <c r="E46" s="94">
        <v>720312</v>
      </c>
      <c r="F46" s="100">
        <f t="shared" ref="F46:M48" si="78">F76*F$2/365</f>
        <v>841368.18098283675</v>
      </c>
      <c r="G46" s="100">
        <f t="shared" si="78"/>
        <v>919521.44059057091</v>
      </c>
      <c r="H46" s="100">
        <f t="shared" si="78"/>
        <v>996712.13999460614</v>
      </c>
      <c r="I46" s="100">
        <f t="shared" si="78"/>
        <v>1070546.452049833</v>
      </c>
      <c r="J46" s="100">
        <f t="shared" si="78"/>
        <v>1140418.6805524738</v>
      </c>
      <c r="K46" s="100">
        <f t="shared" si="78"/>
        <v>1213851.6253307522</v>
      </c>
      <c r="L46" s="100">
        <f t="shared" si="78"/>
        <v>1280052.812936933</v>
      </c>
      <c r="M46" s="100">
        <f t="shared" si="78"/>
        <v>1348558.7392664375</v>
      </c>
    </row>
    <row r="47" spans="1:21" ht="17">
      <c r="A47" s="98" t="s">
        <v>122</v>
      </c>
      <c r="B47" s="94">
        <v>317254</v>
      </c>
      <c r="C47" s="94">
        <v>387936</v>
      </c>
      <c r="D47" s="94">
        <v>484705</v>
      </c>
      <c r="E47" s="94">
        <v>567529</v>
      </c>
      <c r="F47" s="100">
        <f t="shared" si="78"/>
        <v>599329.82902485528</v>
      </c>
      <c r="G47" s="100">
        <f t="shared" si="78"/>
        <v>655000.55769886239</v>
      </c>
      <c r="H47" s="100">
        <f t="shared" si="78"/>
        <v>709985.62811368145</v>
      </c>
      <c r="I47" s="100">
        <f t="shared" si="78"/>
        <v>762579.85097641835</v>
      </c>
      <c r="J47" s="100">
        <f t="shared" si="78"/>
        <v>812351.77212650958</v>
      </c>
      <c r="K47" s="100">
        <f t="shared" si="78"/>
        <v>864660.0899753574</v>
      </c>
      <c r="L47" s="100">
        <f t="shared" si="78"/>
        <v>911817.02714750846</v>
      </c>
      <c r="M47" s="100">
        <f t="shared" si="78"/>
        <v>960615.69346537464</v>
      </c>
    </row>
    <row r="48" spans="1:21" ht="17">
      <c r="A48" s="98" t="s">
        <v>101</v>
      </c>
      <c r="B48" s="94">
        <v>153664</v>
      </c>
      <c r="C48" s="94">
        <v>232059</v>
      </c>
      <c r="D48" s="94">
        <v>186709</v>
      </c>
      <c r="E48" s="94">
        <v>282991</v>
      </c>
      <c r="F48" s="100">
        <f t="shared" si="78"/>
        <v>143579.12404474927</v>
      </c>
      <c r="G48" s="100">
        <f t="shared" si="78"/>
        <v>156915.94472486153</v>
      </c>
      <c r="H48" s="100">
        <f t="shared" si="78"/>
        <v>170088.50491353715</v>
      </c>
      <c r="I48" s="100">
        <f t="shared" si="78"/>
        <v>182688.29902145386</v>
      </c>
      <c r="J48" s="100">
        <f t="shared" si="78"/>
        <v>194611.96524774819</v>
      </c>
      <c r="K48" s="100">
        <f t="shared" si="78"/>
        <v>207143.26619969937</v>
      </c>
      <c r="L48" s="100">
        <f t="shared" si="78"/>
        <v>218440.47085047927</v>
      </c>
      <c r="M48" s="100">
        <f t="shared" si="78"/>
        <v>230130.97818910307</v>
      </c>
    </row>
    <row r="49" spans="1:21" ht="17">
      <c r="A49" s="98" t="s">
        <v>123</v>
      </c>
      <c r="B49" s="94">
        <v>692659</v>
      </c>
      <c r="C49" s="94">
        <f>C140</f>
        <v>710050</v>
      </c>
      <c r="D49" s="94">
        <f>D140</f>
        <v>852901</v>
      </c>
      <c r="E49" s="94">
        <f>E140</f>
        <v>882646</v>
      </c>
      <c r="F49" s="105">
        <f>F140</f>
        <v>951538.3964571174</v>
      </c>
      <c r="G49" s="105">
        <f t="shared" ref="G49:M49" si="79">G140</f>
        <v>983840.60341522528</v>
      </c>
      <c r="H49" s="105">
        <f t="shared" si="79"/>
        <v>1029598.3754624864</v>
      </c>
      <c r="I49" s="105">
        <f t="shared" si="79"/>
        <v>1087346.0911080646</v>
      </c>
      <c r="J49" s="105">
        <f t="shared" si="79"/>
        <v>1156530.8747676965</v>
      </c>
      <c r="K49" s="105">
        <f t="shared" si="79"/>
        <v>1238382.1737750089</v>
      </c>
      <c r="L49" s="105">
        <f t="shared" si="79"/>
        <v>1329699.0931798851</v>
      </c>
      <c r="M49" s="105">
        <f t="shared" si="79"/>
        <v>1432910.8359998586</v>
      </c>
    </row>
    <row r="50" spans="1:21" s="6" customFormat="1" ht="17">
      <c r="A50" s="103" t="s">
        <v>124</v>
      </c>
      <c r="B50" s="104">
        <f t="shared" ref="B50:C50" si="80">SUM(B46:B49)</f>
        <v>1526711</v>
      </c>
      <c r="C50" s="104">
        <f t="shared" si="80"/>
        <v>1956378</v>
      </c>
      <c r="D50" s="104">
        <f>SUM(D46:D49)</f>
        <v>2313181</v>
      </c>
      <c r="E50" s="104">
        <f>SUM(E46:E49)</f>
        <v>2453478</v>
      </c>
      <c r="F50" s="80">
        <f>SUM(F46:F49)</f>
        <v>2535815.5305095585</v>
      </c>
      <c r="G50" s="80">
        <f t="shared" ref="G50:M50" si="81">SUM(G46:G49)</f>
        <v>2715278.54642952</v>
      </c>
      <c r="H50" s="80">
        <f t="shared" si="81"/>
        <v>2906384.6484843111</v>
      </c>
      <c r="I50" s="80">
        <f t="shared" si="81"/>
        <v>3103160.6931557702</v>
      </c>
      <c r="J50" s="80">
        <f t="shared" si="81"/>
        <v>3303913.292694428</v>
      </c>
      <c r="K50" s="80">
        <f t="shared" si="81"/>
        <v>3524037.1552808182</v>
      </c>
      <c r="L50" s="80">
        <f t="shared" si="81"/>
        <v>3740009.4041148061</v>
      </c>
      <c r="M50" s="80">
        <f t="shared" si="81"/>
        <v>3972216.2469207738</v>
      </c>
      <c r="N50" s="19"/>
      <c r="O50" s="19"/>
      <c r="P50" s="19"/>
      <c r="Q50" s="19"/>
      <c r="R50" s="19"/>
      <c r="S50" s="19"/>
      <c r="T50" s="19"/>
      <c r="U50" s="19"/>
    </row>
    <row r="51" spans="1:21" s="6" customFormat="1" ht="17">
      <c r="A51" s="103" t="s">
        <v>8</v>
      </c>
      <c r="B51" s="104">
        <f t="shared" ref="B51:C51" si="82">SUM(B50,B45)</f>
        <v>5090847</v>
      </c>
      <c r="C51" s="104">
        <f t="shared" si="82"/>
        <v>7115112</v>
      </c>
      <c r="D51" s="104">
        <f>SUM(D50,D45)</f>
        <v>7711288</v>
      </c>
      <c r="E51" s="104">
        <f>SUM(E50,E45)</f>
        <v>8603200</v>
      </c>
      <c r="F51" s="80">
        <f>SUM(F50,F45)</f>
        <v>9156252.4926905632</v>
      </c>
      <c r="G51" s="80">
        <f t="shared" ref="G51:M51" si="83">SUM(G50,G45)</f>
        <v>9758598.5063743852</v>
      </c>
      <c r="H51" s="80">
        <f t="shared" si="83"/>
        <v>10409353.532147471</v>
      </c>
      <c r="I51" s="80">
        <f t="shared" si="83"/>
        <v>11098909.228903096</v>
      </c>
      <c r="J51" s="80">
        <f t="shared" si="83"/>
        <v>11821869.765254777</v>
      </c>
      <c r="K51" s="80">
        <f t="shared" si="83"/>
        <v>12595790.064641111</v>
      </c>
      <c r="L51" s="80">
        <f t="shared" si="83"/>
        <v>13391128.228547618</v>
      </c>
      <c r="M51" s="80">
        <f t="shared" si="83"/>
        <v>14229844.828706317</v>
      </c>
      <c r="N51" s="19"/>
      <c r="O51" s="19"/>
      <c r="P51" s="19"/>
      <c r="Q51" s="19"/>
      <c r="R51" s="19"/>
      <c r="S51" s="19"/>
      <c r="T51" s="19"/>
      <c r="U51" s="19"/>
    </row>
    <row r="52" spans="1:21">
      <c r="B52" s="15"/>
      <c r="C52" s="15"/>
      <c r="D52" s="15"/>
      <c r="E52" s="15"/>
      <c r="F52" s="23"/>
      <c r="G52" s="23"/>
      <c r="H52" s="23"/>
      <c r="I52" s="23"/>
      <c r="J52" s="23"/>
      <c r="K52" s="23"/>
      <c r="L52" s="23"/>
      <c r="M52" s="23"/>
    </row>
    <row r="53" spans="1:21" ht="17">
      <c r="A53" s="2" t="s">
        <v>9</v>
      </c>
      <c r="B53" s="15"/>
      <c r="C53" s="15"/>
      <c r="D53" s="15"/>
      <c r="E53" s="15"/>
      <c r="F53" s="23"/>
      <c r="G53" s="23"/>
      <c r="H53" s="23"/>
      <c r="I53" s="23"/>
      <c r="J53" s="23"/>
      <c r="K53" s="23"/>
      <c r="L53" s="23"/>
      <c r="M53" s="23"/>
    </row>
    <row r="54" spans="1:21" ht="17">
      <c r="A54" s="98" t="s">
        <v>125</v>
      </c>
      <c r="B54" s="94">
        <v>4203</v>
      </c>
      <c r="C54" s="94">
        <v>114700</v>
      </c>
      <c r="D54" s="94">
        <v>144000</v>
      </c>
      <c r="E54" s="94">
        <v>128499</v>
      </c>
      <c r="F54" s="100">
        <f t="shared" ref="F54:M54" si="84">E54+F130</f>
        <v>128499</v>
      </c>
      <c r="G54" s="100">
        <f t="shared" si="84"/>
        <v>128499</v>
      </c>
      <c r="H54" s="100">
        <f t="shared" si="84"/>
        <v>128499</v>
      </c>
      <c r="I54" s="100">
        <f t="shared" si="84"/>
        <v>128499</v>
      </c>
      <c r="J54" s="100">
        <f t="shared" si="84"/>
        <v>128499</v>
      </c>
      <c r="K54" s="100">
        <f t="shared" si="84"/>
        <v>128499</v>
      </c>
      <c r="L54" s="100">
        <f t="shared" si="84"/>
        <v>128499</v>
      </c>
      <c r="M54" s="100">
        <f t="shared" si="84"/>
        <v>128499</v>
      </c>
    </row>
    <row r="55" spans="1:21" ht="17">
      <c r="A55" s="98" t="s">
        <v>126</v>
      </c>
      <c r="B55" s="94">
        <v>1127890</v>
      </c>
      <c r="C55" s="94">
        <v>877796</v>
      </c>
      <c r="D55" s="94">
        <v>1087933</v>
      </c>
      <c r="E55" s="94">
        <v>3612174</v>
      </c>
      <c r="F55" s="100">
        <f t="shared" ref="F55:M55" si="85">E55+F31+F132</f>
        <v>4038725.2643905408</v>
      </c>
      <c r="G55" s="100">
        <f t="shared" si="85"/>
        <v>4504898.1503914678</v>
      </c>
      <c r="H55" s="100">
        <f t="shared" si="85"/>
        <v>5010204.6656098915</v>
      </c>
      <c r="I55" s="100">
        <f t="shared" si="85"/>
        <v>5552943.2110315179</v>
      </c>
      <c r="J55" s="100">
        <f t="shared" si="85"/>
        <v>6131105.1157947946</v>
      </c>
      <c r="K55" s="100">
        <f t="shared" si="85"/>
        <v>6746495.5682391897</v>
      </c>
      <c r="L55" s="100">
        <f t="shared" si="85"/>
        <v>7395448.2600406576</v>
      </c>
      <c r="M55" s="100">
        <f t="shared" si="85"/>
        <v>8079131.6323629431</v>
      </c>
    </row>
    <row r="56" spans="1:21" ht="17">
      <c r="A56" s="98" t="s">
        <v>127</v>
      </c>
      <c r="B56" s="94">
        <v>-8458</v>
      </c>
      <c r="C56" s="94">
        <v>30255</v>
      </c>
      <c r="D56" s="94">
        <v>10935</v>
      </c>
      <c r="E56" s="94">
        <v>-27720</v>
      </c>
      <c r="F56" s="100">
        <f>E56</f>
        <v>-27720</v>
      </c>
      <c r="G56" s="100">
        <f t="shared" ref="G56:M56" si="86">F56</f>
        <v>-27720</v>
      </c>
      <c r="H56" s="100">
        <f t="shared" si="86"/>
        <v>-27720</v>
      </c>
      <c r="I56" s="100">
        <f t="shared" si="86"/>
        <v>-27720</v>
      </c>
      <c r="J56" s="100">
        <f t="shared" si="86"/>
        <v>-27720</v>
      </c>
      <c r="K56" s="100">
        <f t="shared" si="86"/>
        <v>-27720</v>
      </c>
      <c r="L56" s="100">
        <f t="shared" si="86"/>
        <v>-27720</v>
      </c>
      <c r="M56" s="100">
        <f t="shared" si="86"/>
        <v>-27720</v>
      </c>
    </row>
    <row r="57" spans="1:21" ht="17">
      <c r="A57" s="98" t="s">
        <v>128</v>
      </c>
      <c r="B57" s="99">
        <v>0</v>
      </c>
      <c r="C57" s="99">
        <v>0</v>
      </c>
      <c r="D57" s="94">
        <v>-105907</v>
      </c>
      <c r="E57" s="94">
        <v>-80281</v>
      </c>
      <c r="F57" s="100">
        <f>E57</f>
        <v>-80281</v>
      </c>
      <c r="G57" s="100">
        <f t="shared" ref="G57:M57" si="87">F57</f>
        <v>-80281</v>
      </c>
      <c r="H57" s="100">
        <f t="shared" si="87"/>
        <v>-80281</v>
      </c>
      <c r="I57" s="100">
        <f t="shared" si="87"/>
        <v>-80281</v>
      </c>
      <c r="J57" s="100">
        <f t="shared" si="87"/>
        <v>-80281</v>
      </c>
      <c r="K57" s="100">
        <f t="shared" si="87"/>
        <v>-80281</v>
      </c>
      <c r="L57" s="100">
        <f t="shared" si="87"/>
        <v>-80281</v>
      </c>
      <c r="M57" s="100">
        <f t="shared" si="87"/>
        <v>-80281</v>
      </c>
    </row>
    <row r="58" spans="1:21" ht="17">
      <c r="A58" s="98" t="s">
        <v>129</v>
      </c>
      <c r="B58" s="99">
        <v>0</v>
      </c>
      <c r="C58" s="99">
        <v>0</v>
      </c>
      <c r="D58" s="94">
        <v>-80000</v>
      </c>
      <c r="E58" s="99">
        <v>0</v>
      </c>
      <c r="F58" s="100">
        <v>0</v>
      </c>
      <c r="G58" s="100">
        <v>0</v>
      </c>
      <c r="H58" s="100">
        <v>0</v>
      </c>
      <c r="I58" s="100">
        <v>0</v>
      </c>
      <c r="J58" s="100">
        <v>0</v>
      </c>
      <c r="K58" s="100">
        <v>0</v>
      </c>
      <c r="L58" s="100">
        <v>0</v>
      </c>
      <c r="M58" s="100">
        <v>0</v>
      </c>
    </row>
    <row r="59" spans="1:21" ht="17">
      <c r="A59" s="98" t="s">
        <v>130</v>
      </c>
      <c r="B59" s="94">
        <v>-83220</v>
      </c>
      <c r="C59" s="94">
        <v>-77902</v>
      </c>
      <c r="D59" s="94">
        <v>-107055</v>
      </c>
      <c r="E59" s="94">
        <v>-106568</v>
      </c>
      <c r="F59" s="100">
        <f>E59</f>
        <v>-106568</v>
      </c>
      <c r="G59" s="100">
        <f t="shared" ref="G59:M59" si="88">F59</f>
        <v>-106568</v>
      </c>
      <c r="H59" s="100">
        <f t="shared" si="88"/>
        <v>-106568</v>
      </c>
      <c r="I59" s="100">
        <f t="shared" si="88"/>
        <v>-106568</v>
      </c>
      <c r="J59" s="100">
        <f t="shared" si="88"/>
        <v>-106568</v>
      </c>
      <c r="K59" s="100">
        <f t="shared" si="88"/>
        <v>-106568</v>
      </c>
      <c r="L59" s="100">
        <f t="shared" si="88"/>
        <v>-106568</v>
      </c>
      <c r="M59" s="100">
        <f t="shared" si="88"/>
        <v>-106568</v>
      </c>
    </row>
    <row r="60" spans="1:21" ht="17">
      <c r="A60" s="98" t="s">
        <v>143</v>
      </c>
      <c r="B60" s="94"/>
      <c r="C60" s="94"/>
      <c r="D60" s="94"/>
      <c r="E60" s="94"/>
      <c r="F60" s="100">
        <f>'CapEx Readjustments'!F14</f>
        <v>108087.93076951188</v>
      </c>
      <c r="G60" s="100">
        <f>'CapEx Readjustments'!G14</f>
        <v>128124.61801080107</v>
      </c>
      <c r="H60" s="100">
        <f>'CapEx Readjustments'!H14</f>
        <v>147102.54882617749</v>
      </c>
      <c r="I60" s="100">
        <f>'CapEx Readjustments'!I14</f>
        <v>165114.64131445729</v>
      </c>
      <c r="J60" s="100">
        <f>'CapEx Readjustments'!J14</f>
        <v>182199.58612357551</v>
      </c>
      <c r="K60" s="100">
        <f>'CapEx Readjustments'!K14</f>
        <v>198771.39819384055</v>
      </c>
      <c r="L60" s="100">
        <f>'CapEx Readjustments'!L14</f>
        <v>214588.25854727591</v>
      </c>
      <c r="M60" s="100">
        <f>'CapEx Readjustments'!M14</f>
        <v>229956.85553172696</v>
      </c>
    </row>
    <row r="61" spans="1:21" s="6" customFormat="1" ht="17">
      <c r="A61" s="103" t="s">
        <v>10</v>
      </c>
      <c r="B61" s="104">
        <f>SUM(B54:B59)</f>
        <v>1040415</v>
      </c>
      <c r="C61" s="104">
        <f>SUM(C54:C59)</f>
        <v>944849</v>
      </c>
      <c r="D61" s="104">
        <f>SUM(D54:D59)</f>
        <v>949906</v>
      </c>
      <c r="E61" s="104">
        <f>SUM(E54:E59)</f>
        <v>3526104</v>
      </c>
      <c r="F61" s="80">
        <f>SUM(F54:F60)</f>
        <v>4060743.1951600527</v>
      </c>
      <c r="G61" s="80">
        <f t="shared" ref="G61:M61" si="89">SUM(G54:G60)</f>
        <v>4546952.7684022691</v>
      </c>
      <c r="H61" s="80">
        <f t="shared" si="89"/>
        <v>5071237.2144360691</v>
      </c>
      <c r="I61" s="80">
        <f t="shared" si="89"/>
        <v>5631987.8523459751</v>
      </c>
      <c r="J61" s="80">
        <f t="shared" si="89"/>
        <v>6227234.7019183701</v>
      </c>
      <c r="K61" s="80">
        <f t="shared" si="89"/>
        <v>6859196.9664330306</v>
      </c>
      <c r="L61" s="80">
        <f t="shared" si="89"/>
        <v>7523966.5185879339</v>
      </c>
      <c r="M61" s="80">
        <f t="shared" si="89"/>
        <v>8223018.4878946701</v>
      </c>
      <c r="N61" s="19"/>
      <c r="O61" s="19"/>
      <c r="P61" s="19"/>
      <c r="Q61" s="19"/>
      <c r="R61" s="19"/>
      <c r="S61" s="19"/>
      <c r="T61" s="19"/>
      <c r="U61" s="19"/>
    </row>
    <row r="62" spans="1:21" ht="17">
      <c r="A62" s="98" t="s">
        <v>131</v>
      </c>
      <c r="B62" s="94">
        <v>8068</v>
      </c>
      <c r="C62" s="94">
        <v>6748</v>
      </c>
      <c r="D62" s="94">
        <v>9303</v>
      </c>
      <c r="E62" s="94">
        <v>11580</v>
      </c>
      <c r="F62" s="100">
        <f>E62</f>
        <v>11580</v>
      </c>
      <c r="G62" s="100">
        <f t="shared" ref="G62:M62" si="90">F62</f>
        <v>11580</v>
      </c>
      <c r="H62" s="100">
        <f t="shared" si="90"/>
        <v>11580</v>
      </c>
      <c r="I62" s="100">
        <f t="shared" si="90"/>
        <v>11580</v>
      </c>
      <c r="J62" s="100">
        <f t="shared" si="90"/>
        <v>11580</v>
      </c>
      <c r="K62" s="100">
        <f t="shared" si="90"/>
        <v>11580</v>
      </c>
      <c r="L62" s="100">
        <f t="shared" si="90"/>
        <v>11580</v>
      </c>
      <c r="M62" s="100">
        <f t="shared" si="90"/>
        <v>11580</v>
      </c>
    </row>
    <row r="63" spans="1:21" s="6" customFormat="1" ht="17">
      <c r="A63" s="103" t="s">
        <v>132</v>
      </c>
      <c r="B63" s="104">
        <f>SUM(B61:B62)</f>
        <v>1048483</v>
      </c>
      <c r="C63" s="104">
        <f t="shared" ref="C63:F63" si="91">SUM(C61:C62)</f>
        <v>951597</v>
      </c>
      <c r="D63" s="104">
        <f t="shared" si="91"/>
        <v>959209</v>
      </c>
      <c r="E63" s="104">
        <f t="shared" si="91"/>
        <v>3537684</v>
      </c>
      <c r="F63" s="80">
        <f t="shared" si="91"/>
        <v>4072323.1951600527</v>
      </c>
      <c r="G63" s="80">
        <f t="shared" ref="G63:M63" si="92">SUM(G61:G62)</f>
        <v>4558532.7684022691</v>
      </c>
      <c r="H63" s="80">
        <f t="shared" si="92"/>
        <v>5082817.2144360691</v>
      </c>
      <c r="I63" s="80">
        <f t="shared" si="92"/>
        <v>5643567.8523459751</v>
      </c>
      <c r="J63" s="80">
        <f t="shared" si="92"/>
        <v>6238814.7019183701</v>
      </c>
      <c r="K63" s="80">
        <f t="shared" si="92"/>
        <v>6870776.9664330306</v>
      </c>
      <c r="L63" s="80">
        <f t="shared" si="92"/>
        <v>7535546.5185879339</v>
      </c>
      <c r="M63" s="80">
        <f t="shared" si="92"/>
        <v>8234598.4878946701</v>
      </c>
      <c r="N63" s="19"/>
      <c r="O63" s="19"/>
      <c r="P63" s="19"/>
      <c r="Q63" s="19"/>
      <c r="R63" s="19"/>
      <c r="S63" s="19"/>
      <c r="T63" s="19"/>
      <c r="U63" s="19"/>
    </row>
    <row r="64" spans="1:21" ht="17">
      <c r="A64" s="98" t="s">
        <v>133</v>
      </c>
      <c r="B64" s="94">
        <v>826606</v>
      </c>
      <c r="C64" s="94">
        <v>1662311</v>
      </c>
      <c r="D64" s="94">
        <v>1788846</v>
      </c>
      <c r="E64" s="94">
        <v>1129931</v>
      </c>
      <c r="F64" s="100">
        <f>E64+F135</f>
        <v>1054010</v>
      </c>
      <c r="G64" s="100">
        <f t="shared" ref="G64:M64" si="93">F64+G135</f>
        <v>993877.48853663343</v>
      </c>
      <c r="H64" s="100">
        <f t="shared" si="93"/>
        <v>946250.10039775341</v>
      </c>
      <c r="I64" s="100">
        <f t="shared" si="93"/>
        <v>908527.27715739293</v>
      </c>
      <c r="J64" s="100">
        <f t="shared" si="93"/>
        <v>878649.27105985046</v>
      </c>
      <c r="K64" s="100">
        <f t="shared" si="93"/>
        <v>854984.67833632196</v>
      </c>
      <c r="L64" s="100">
        <f t="shared" si="93"/>
        <v>836241.36102986545</v>
      </c>
      <c r="M64" s="100">
        <f t="shared" si="93"/>
        <v>821395.8934676362</v>
      </c>
    </row>
    <row r="65" spans="1:21" ht="17">
      <c r="A65" s="98" t="s">
        <v>134</v>
      </c>
      <c r="B65" s="94">
        <v>398852</v>
      </c>
      <c r="C65" s="94">
        <v>552629</v>
      </c>
      <c r="D65" s="94">
        <v>553741</v>
      </c>
      <c r="E65" s="94">
        <v>619128</v>
      </c>
      <c r="F65" s="100">
        <f>E65</f>
        <v>619128</v>
      </c>
      <c r="G65" s="100">
        <f t="shared" ref="G65:M65" si="94">F65</f>
        <v>619128</v>
      </c>
      <c r="H65" s="100">
        <f t="shared" si="94"/>
        <v>619128</v>
      </c>
      <c r="I65" s="100">
        <f t="shared" si="94"/>
        <v>619128</v>
      </c>
      <c r="J65" s="100">
        <f t="shared" si="94"/>
        <v>619128</v>
      </c>
      <c r="K65" s="100">
        <f t="shared" si="94"/>
        <v>619128</v>
      </c>
      <c r="L65" s="100">
        <f t="shared" si="94"/>
        <v>619128</v>
      </c>
      <c r="M65" s="100">
        <f t="shared" si="94"/>
        <v>619128</v>
      </c>
    </row>
    <row r="66" spans="1:21" ht="17">
      <c r="A66" s="98" t="s">
        <v>135</v>
      </c>
      <c r="B66" s="94">
        <v>1844186</v>
      </c>
      <c r="C66" s="94">
        <v>2753941</v>
      </c>
      <c r="D66" s="94">
        <v>2759606</v>
      </c>
      <c r="E66" s="94">
        <v>1513147</v>
      </c>
      <c r="F66" s="100">
        <f>E66</f>
        <v>1513147</v>
      </c>
      <c r="G66" s="100">
        <f t="shared" ref="G66:M66" si="95">F66</f>
        <v>1513147</v>
      </c>
      <c r="H66" s="100">
        <f t="shared" si="95"/>
        <v>1513147</v>
      </c>
      <c r="I66" s="100">
        <f t="shared" si="95"/>
        <v>1513147</v>
      </c>
      <c r="J66" s="100">
        <f t="shared" si="95"/>
        <v>1513147</v>
      </c>
      <c r="K66" s="100">
        <f t="shared" si="95"/>
        <v>1513147</v>
      </c>
      <c r="L66" s="100">
        <f t="shared" si="95"/>
        <v>1513147</v>
      </c>
      <c r="M66" s="100">
        <f t="shared" si="95"/>
        <v>1513147</v>
      </c>
    </row>
    <row r="67" spans="1:21" s="6" customFormat="1" ht="17">
      <c r="A67" s="103" t="s">
        <v>136</v>
      </c>
      <c r="B67" s="106">
        <f>SUM(B64:B66)</f>
        <v>3069644</v>
      </c>
      <c r="C67" s="106">
        <f t="shared" ref="C67:F67" si="96">SUM(C64:C66)</f>
        <v>4968881</v>
      </c>
      <c r="D67" s="106">
        <f t="shared" si="96"/>
        <v>5102193</v>
      </c>
      <c r="E67" s="106">
        <f t="shared" si="96"/>
        <v>3262206</v>
      </c>
      <c r="F67" s="107">
        <f t="shared" si="96"/>
        <v>3186285</v>
      </c>
      <c r="G67" s="107">
        <f t="shared" ref="G67:M67" si="97">SUM(G64:G66)</f>
        <v>3126152.4885366336</v>
      </c>
      <c r="H67" s="107">
        <f t="shared" si="97"/>
        <v>3078525.1003977535</v>
      </c>
      <c r="I67" s="107">
        <f t="shared" si="97"/>
        <v>3040802.2771573928</v>
      </c>
      <c r="J67" s="107">
        <f t="shared" si="97"/>
        <v>3010924.2710598502</v>
      </c>
      <c r="K67" s="107">
        <f t="shared" si="97"/>
        <v>2987259.6783363218</v>
      </c>
      <c r="L67" s="107">
        <f t="shared" si="97"/>
        <v>2968516.3610298652</v>
      </c>
      <c r="M67" s="107">
        <f t="shared" si="97"/>
        <v>2953670.8934676363</v>
      </c>
      <c r="N67" s="19"/>
      <c r="O67" s="19"/>
      <c r="P67" s="19"/>
      <c r="Q67" s="19"/>
      <c r="R67" s="19"/>
      <c r="S67" s="19"/>
      <c r="T67" s="19"/>
      <c r="U67" s="19"/>
    </row>
    <row r="68" spans="1:21" ht="17">
      <c r="A68" s="98" t="s">
        <v>137</v>
      </c>
      <c r="B68" s="94">
        <v>145987</v>
      </c>
      <c r="C68" s="94">
        <v>177001</v>
      </c>
      <c r="D68" s="94">
        <v>358371</v>
      </c>
      <c r="E68" s="94">
        <v>527173</v>
      </c>
      <c r="F68" s="100">
        <f>F79*F$2/365</f>
        <v>388323.43276418938</v>
      </c>
      <c r="G68" s="100">
        <f t="shared" ref="G68:M68" si="98">G79*G$2/365</f>
        <v>424394.13610019453</v>
      </c>
      <c r="H68" s="100">
        <f t="shared" si="98"/>
        <v>460020.58127313736</v>
      </c>
      <c r="I68" s="100">
        <f t="shared" si="98"/>
        <v>494097.92596137541</v>
      </c>
      <c r="J68" s="100">
        <f t="shared" si="98"/>
        <v>526346.6183178348</v>
      </c>
      <c r="K68" s="100">
        <f t="shared" si="98"/>
        <v>560238.71673421876</v>
      </c>
      <c r="L68" s="100">
        <f t="shared" si="98"/>
        <v>590793.08401997492</v>
      </c>
      <c r="M68" s="100">
        <f t="shared" si="98"/>
        <v>622411.17593056813</v>
      </c>
    </row>
    <row r="69" spans="1:21" ht="17">
      <c r="A69" s="98" t="s">
        <v>138</v>
      </c>
      <c r="B69" s="94">
        <v>166542</v>
      </c>
      <c r="C69" s="94">
        <v>238887</v>
      </c>
      <c r="D69" s="94">
        <v>212072</v>
      </c>
      <c r="E69" s="94">
        <v>229492</v>
      </c>
      <c r="F69" s="100">
        <f t="shared" ref="F69:M69" si="99">F80*F4/365</f>
        <v>287474.20108316629</v>
      </c>
      <c r="G69" s="100">
        <f t="shared" si="99"/>
        <v>314177.19077970315</v>
      </c>
      <c r="H69" s="100">
        <f t="shared" si="99"/>
        <v>340551.29802999686</v>
      </c>
      <c r="I69" s="100">
        <f t="shared" si="99"/>
        <v>365778.61271856423</v>
      </c>
      <c r="J69" s="100">
        <f t="shared" si="99"/>
        <v>389652.18379090173</v>
      </c>
      <c r="K69" s="100">
        <f t="shared" si="99"/>
        <v>414742.36144494649</v>
      </c>
      <c r="L69" s="100">
        <f t="shared" si="99"/>
        <v>437361.63080644363</v>
      </c>
      <c r="M69" s="100">
        <f t="shared" si="99"/>
        <v>460768.37102572736</v>
      </c>
    </row>
    <row r="70" spans="1:21" ht="17">
      <c r="A70" s="98" t="s">
        <v>139</v>
      </c>
      <c r="B70" s="94">
        <v>641993</v>
      </c>
      <c r="C70" s="94">
        <v>749650</v>
      </c>
      <c r="D70" s="94">
        <v>1024124</v>
      </c>
      <c r="E70" s="94">
        <v>999020</v>
      </c>
      <c r="F70" s="100">
        <f t="shared" ref="F70:M70" si="100">F81*F$2/365</f>
        <v>1172608.7899048687</v>
      </c>
      <c r="G70" s="100">
        <f t="shared" si="100"/>
        <v>1281530.426409703</v>
      </c>
      <c r="H70" s="100">
        <f t="shared" si="100"/>
        <v>1389110.5496731505</v>
      </c>
      <c r="I70" s="100">
        <f t="shared" si="100"/>
        <v>1492012.8999990227</v>
      </c>
      <c r="J70" s="100">
        <f t="shared" si="100"/>
        <v>1589393.3229391074</v>
      </c>
      <c r="K70" s="100">
        <f t="shared" si="100"/>
        <v>1691736.2905743008</v>
      </c>
      <c r="L70" s="100">
        <f t="shared" si="100"/>
        <v>1784000.410187748</v>
      </c>
      <c r="M70" s="100">
        <f t="shared" si="100"/>
        <v>1879476.6276039036</v>
      </c>
    </row>
    <row r="71" spans="1:21" ht="17">
      <c r="A71" s="98" t="s">
        <v>140</v>
      </c>
      <c r="B71" s="94">
        <v>18198</v>
      </c>
      <c r="C71" s="94">
        <v>29096</v>
      </c>
      <c r="D71" s="94">
        <v>55319</v>
      </c>
      <c r="E71" s="94">
        <v>47625</v>
      </c>
      <c r="F71" s="100">
        <f>F82*F$2/365</f>
        <v>49237.873778285997</v>
      </c>
      <c r="G71" s="100">
        <f t="shared" ref="G71:M71" si="101">G82*G$2/365</f>
        <v>53811.496145882673</v>
      </c>
      <c r="H71" s="100">
        <f t="shared" si="101"/>
        <v>58328.788337362683</v>
      </c>
      <c r="I71" s="100">
        <f t="shared" si="101"/>
        <v>62649.660720764594</v>
      </c>
      <c r="J71" s="100">
        <f t="shared" si="101"/>
        <v>66738.667228714257</v>
      </c>
      <c r="K71" s="100">
        <f t="shared" si="101"/>
        <v>71036.051118294068</v>
      </c>
      <c r="L71" s="100">
        <f t="shared" si="101"/>
        <v>74910.223915651426</v>
      </c>
      <c r="M71" s="100">
        <f t="shared" si="101"/>
        <v>78919.272783813372</v>
      </c>
    </row>
    <row r="72" spans="1:21" s="6" customFormat="1" ht="17">
      <c r="A72" s="103" t="s">
        <v>141</v>
      </c>
      <c r="B72" s="104">
        <f>SUM(B68:B71)</f>
        <v>972720</v>
      </c>
      <c r="C72" s="104">
        <f t="shared" ref="C72:F72" si="102">SUM(C68:C71)</f>
        <v>1194634</v>
      </c>
      <c r="D72" s="104">
        <f t="shared" si="102"/>
        <v>1649886</v>
      </c>
      <c r="E72" s="104">
        <f t="shared" si="102"/>
        <v>1803310</v>
      </c>
      <c r="F72" s="80">
        <f t="shared" si="102"/>
        <v>1897644.2975305102</v>
      </c>
      <c r="G72" s="80">
        <f t="shared" ref="G72:M72" si="103">SUM(G68:G71)</f>
        <v>2073913.2494354832</v>
      </c>
      <c r="H72" s="80">
        <f t="shared" si="103"/>
        <v>2248011.2173136473</v>
      </c>
      <c r="I72" s="80">
        <f t="shared" si="103"/>
        <v>2414539.0993997268</v>
      </c>
      <c r="J72" s="80">
        <f t="shared" si="103"/>
        <v>2572130.792276558</v>
      </c>
      <c r="K72" s="80">
        <f t="shared" si="103"/>
        <v>2737753.4198717601</v>
      </c>
      <c r="L72" s="80">
        <f t="shared" si="103"/>
        <v>2887065.3489298178</v>
      </c>
      <c r="M72" s="80">
        <f t="shared" si="103"/>
        <v>3041575.447344013</v>
      </c>
      <c r="N72" s="19"/>
      <c r="O72" s="19"/>
      <c r="P72" s="19"/>
      <c r="Q72" s="19"/>
      <c r="R72" s="19"/>
      <c r="S72" s="19"/>
      <c r="T72" s="19"/>
      <c r="U72" s="19"/>
    </row>
    <row r="73" spans="1:21" s="6" customFormat="1" ht="17">
      <c r="A73" s="103" t="s">
        <v>11</v>
      </c>
      <c r="B73" s="104">
        <f>B63+B67+B72</f>
        <v>5090847</v>
      </c>
      <c r="C73" s="104">
        <f>C63+C67+C72</f>
        <v>7115112</v>
      </c>
      <c r="D73" s="104">
        <f t="shared" ref="D73:F73" si="104">D63+D67+D72</f>
        <v>7711288</v>
      </c>
      <c r="E73" s="104">
        <f t="shared" si="104"/>
        <v>8603200</v>
      </c>
      <c r="F73" s="80">
        <f t="shared" si="104"/>
        <v>9156252.4926905632</v>
      </c>
      <c r="G73" s="80">
        <f t="shared" ref="G73:M73" si="105">G63+G67+G72</f>
        <v>9758598.5063743852</v>
      </c>
      <c r="H73" s="80">
        <f t="shared" si="105"/>
        <v>10409353.532147471</v>
      </c>
      <c r="I73" s="80">
        <f t="shared" si="105"/>
        <v>11098909.228903094</v>
      </c>
      <c r="J73" s="80">
        <f t="shared" si="105"/>
        <v>11821869.765254777</v>
      </c>
      <c r="K73" s="80">
        <f t="shared" si="105"/>
        <v>12595790.064641112</v>
      </c>
      <c r="L73" s="80">
        <f t="shared" si="105"/>
        <v>13391128.228547618</v>
      </c>
      <c r="M73" s="80">
        <f t="shared" si="105"/>
        <v>14229844.828706319</v>
      </c>
      <c r="N73" s="19"/>
      <c r="O73" s="19"/>
      <c r="P73" s="19"/>
      <c r="Q73" s="19"/>
      <c r="R73" s="19"/>
      <c r="S73" s="19"/>
      <c r="T73" s="19"/>
      <c r="U73" s="19"/>
    </row>
    <row r="74" spans="1:21" s="6" customFormat="1">
      <c r="A74" s="2"/>
      <c r="B74" s="18"/>
      <c r="C74" s="18"/>
      <c r="D74" s="18"/>
      <c r="E74" s="18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 spans="1:21" s="6" customFormat="1" ht="17">
      <c r="A75" s="2" t="s">
        <v>98</v>
      </c>
      <c r="B75" s="18"/>
      <c r="C75" s="18"/>
      <c r="D75" s="18"/>
      <c r="E75" s="18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 spans="1:21" s="6" customFormat="1" ht="17">
      <c r="A76" s="110" t="s">
        <v>99</v>
      </c>
      <c r="B76" s="111">
        <f>B46/B2*365</f>
        <v>51.274001822815521</v>
      </c>
      <c r="C76" s="111">
        <f>C46/C2*365</f>
        <v>63.15928708203635</v>
      </c>
      <c r="D76" s="111">
        <f>D46/D2*365</f>
        <v>66.89860775866174</v>
      </c>
      <c r="E76" s="111">
        <f>E46/E2*365</f>
        <v>54.890607687745089</v>
      </c>
      <c r="F76" s="112">
        <f>AVERAGE(B76:E76)</f>
        <v>59.055626087814673</v>
      </c>
      <c r="G76" s="112">
        <f>F76</f>
        <v>59.055626087814673</v>
      </c>
      <c r="H76" s="112">
        <f t="shared" ref="H76:M76" si="106">G76</f>
        <v>59.055626087814673</v>
      </c>
      <c r="I76" s="112">
        <f t="shared" si="106"/>
        <v>59.055626087814673</v>
      </c>
      <c r="J76" s="112">
        <f t="shared" si="106"/>
        <v>59.055626087814673</v>
      </c>
      <c r="K76" s="112">
        <f t="shared" si="106"/>
        <v>59.055626087814673</v>
      </c>
      <c r="L76" s="112">
        <f t="shared" si="106"/>
        <v>59.055626087814673</v>
      </c>
      <c r="M76" s="112">
        <f t="shared" si="106"/>
        <v>59.055626087814673</v>
      </c>
      <c r="N76" s="19"/>
      <c r="O76" s="19"/>
      <c r="P76" s="19"/>
      <c r="Q76" s="19"/>
      <c r="R76" s="19"/>
      <c r="S76" s="19"/>
      <c r="T76" s="19"/>
      <c r="U76" s="19"/>
    </row>
    <row r="77" spans="1:21" s="6" customFormat="1" ht="17">
      <c r="A77" s="110" t="s">
        <v>100</v>
      </c>
      <c r="B77" s="111">
        <f>B47/B2*365</f>
        <v>44.795811392751759</v>
      </c>
      <c r="C77" s="111">
        <f>C47/C2*365</f>
        <v>39.119384087149889</v>
      </c>
      <c r="D77" s="111">
        <f>D47/D2*365</f>
        <v>41.104686567379176</v>
      </c>
      <c r="E77" s="111">
        <f>E47/E2*365</f>
        <v>43.247942128436407</v>
      </c>
      <c r="F77" s="112">
        <f t="shared" ref="F77:F82" si="107">AVERAGE(B77:E77)</f>
        <v>42.066956043929309</v>
      </c>
      <c r="G77" s="112">
        <f t="shared" ref="G77:M82" si="108">F77</f>
        <v>42.066956043929309</v>
      </c>
      <c r="H77" s="112">
        <f t="shared" si="108"/>
        <v>42.066956043929309</v>
      </c>
      <c r="I77" s="112">
        <f t="shared" si="108"/>
        <v>42.066956043929309</v>
      </c>
      <c r="J77" s="112">
        <f t="shared" si="108"/>
        <v>42.066956043929309</v>
      </c>
      <c r="K77" s="112">
        <f t="shared" si="108"/>
        <v>42.066956043929309</v>
      </c>
      <c r="L77" s="112">
        <f t="shared" si="108"/>
        <v>42.066956043929309</v>
      </c>
      <c r="M77" s="112">
        <f t="shared" si="108"/>
        <v>42.066956043929309</v>
      </c>
      <c r="N77" s="19"/>
      <c r="O77" s="19"/>
      <c r="P77" s="19"/>
      <c r="Q77" s="19"/>
      <c r="R77" s="19"/>
      <c r="S77" s="19"/>
      <c r="T77" s="19"/>
      <c r="U77" s="19"/>
    </row>
    <row r="78" spans="1:21" s="6" customFormat="1" ht="17">
      <c r="A78" s="110" t="s">
        <v>101</v>
      </c>
      <c r="B78" s="111">
        <f>B43/B2*365</f>
        <v>8.8442548816020956</v>
      </c>
      <c r="C78" s="111">
        <f>C43/C2*365</f>
        <v>10.347674869315778</v>
      </c>
      <c r="D78" s="111">
        <f>D43/D2*365</f>
        <v>11.146912908186607</v>
      </c>
      <c r="E78" s="111">
        <f>E43/E2*365</f>
        <v>9.9724277466663906</v>
      </c>
      <c r="F78" s="112">
        <f t="shared" si="107"/>
        <v>10.077817601442717</v>
      </c>
      <c r="G78" s="112">
        <f t="shared" si="108"/>
        <v>10.077817601442717</v>
      </c>
      <c r="H78" s="112">
        <f t="shared" si="108"/>
        <v>10.077817601442717</v>
      </c>
      <c r="I78" s="112">
        <f t="shared" si="108"/>
        <v>10.077817601442717</v>
      </c>
      <c r="J78" s="112">
        <f t="shared" si="108"/>
        <v>10.077817601442717</v>
      </c>
      <c r="K78" s="112">
        <f t="shared" si="108"/>
        <v>10.077817601442717</v>
      </c>
      <c r="L78" s="112">
        <f t="shared" si="108"/>
        <v>10.077817601442717</v>
      </c>
      <c r="M78" s="112">
        <f t="shared" si="108"/>
        <v>10.077817601442717</v>
      </c>
      <c r="N78" s="19"/>
      <c r="O78" s="19"/>
      <c r="P78" s="19"/>
      <c r="Q78" s="19"/>
      <c r="R78" s="19"/>
      <c r="S78" s="19"/>
      <c r="T78" s="19"/>
      <c r="U78" s="19"/>
    </row>
    <row r="79" spans="1:21" s="6" customFormat="1" ht="17">
      <c r="A79" s="110" t="s">
        <v>137</v>
      </c>
      <c r="B79" s="111">
        <f>B68/B2*365</f>
        <v>20.613155760979058</v>
      </c>
      <c r="C79" s="111">
        <f>C68/C2*365</f>
        <v>17.84874335666094</v>
      </c>
      <c r="D79" s="111">
        <f>D68/D2*365</f>
        <v>30.391119608500517</v>
      </c>
      <c r="E79" s="111">
        <f>E68/E2*365</f>
        <v>40.172656191444325</v>
      </c>
      <c r="F79" s="112">
        <f t="shared" si="107"/>
        <v>27.256418729396209</v>
      </c>
      <c r="G79" s="112">
        <f t="shared" si="108"/>
        <v>27.256418729396209</v>
      </c>
      <c r="H79" s="112">
        <f t="shared" si="108"/>
        <v>27.256418729396209</v>
      </c>
      <c r="I79" s="112">
        <f t="shared" si="108"/>
        <v>27.256418729396209</v>
      </c>
      <c r="J79" s="112">
        <f t="shared" si="108"/>
        <v>27.256418729396209</v>
      </c>
      <c r="K79" s="112">
        <f t="shared" si="108"/>
        <v>27.256418729396209</v>
      </c>
      <c r="L79" s="112">
        <f t="shared" si="108"/>
        <v>27.256418729396209</v>
      </c>
      <c r="M79" s="112">
        <f t="shared" si="108"/>
        <v>27.256418729396209</v>
      </c>
      <c r="N79" s="19"/>
      <c r="O79" s="19"/>
      <c r="P79" s="19"/>
      <c r="Q79" s="19"/>
      <c r="R79" s="19"/>
      <c r="S79" s="19"/>
      <c r="T79" s="19"/>
      <c r="U79" s="19"/>
    </row>
    <row r="80" spans="1:21" s="6" customFormat="1" ht="17">
      <c r="A80" s="110" t="s">
        <v>138</v>
      </c>
      <c r="B80" s="111">
        <f>B69/B4*365</f>
        <v>86.851420047834992</v>
      </c>
      <c r="C80" s="111">
        <f>C69/C4*365</f>
        <v>94.063291221173529</v>
      </c>
      <c r="D80" s="111">
        <f>D69/D4*365</f>
        <v>71.08641349466987</v>
      </c>
      <c r="E80" s="111">
        <f>E69/E4*365</f>
        <v>69.706285954901432</v>
      </c>
      <c r="F80" s="112">
        <f t="shared" si="107"/>
        <v>80.426852679644952</v>
      </c>
      <c r="G80" s="112">
        <f t="shared" si="108"/>
        <v>80.426852679644952</v>
      </c>
      <c r="H80" s="112">
        <f t="shared" si="108"/>
        <v>80.426852679644952</v>
      </c>
      <c r="I80" s="112">
        <f t="shared" si="108"/>
        <v>80.426852679644952</v>
      </c>
      <c r="J80" s="112">
        <f t="shared" si="108"/>
        <v>80.426852679644952</v>
      </c>
      <c r="K80" s="112">
        <f t="shared" si="108"/>
        <v>80.426852679644952</v>
      </c>
      <c r="L80" s="112">
        <f t="shared" si="108"/>
        <v>80.426852679644952</v>
      </c>
      <c r="M80" s="112">
        <f t="shared" si="108"/>
        <v>80.426852679644952</v>
      </c>
      <c r="N80" s="19"/>
      <c r="O80" s="19"/>
      <c r="P80" s="19"/>
      <c r="Q80" s="19"/>
      <c r="R80" s="19"/>
      <c r="S80" s="19"/>
      <c r="T80" s="19"/>
      <c r="U80" s="19"/>
    </row>
    <row r="81" spans="1:21" s="6" customFormat="1" ht="17">
      <c r="A81" s="110" t="s">
        <v>139</v>
      </c>
      <c r="B81" s="111">
        <f>B70/B2*365</f>
        <v>90.648494088228603</v>
      </c>
      <c r="C81" s="111">
        <f>C70/C2*365</f>
        <v>75.594547247308626</v>
      </c>
      <c r="D81" s="111">
        <f>D70/D2*365</f>
        <v>86.849312522319011</v>
      </c>
      <c r="E81" s="111">
        <f>E70/E2*365</f>
        <v>76.129253562638269</v>
      </c>
      <c r="F81" s="112">
        <f t="shared" si="107"/>
        <v>82.30540185512362</v>
      </c>
      <c r="G81" s="112">
        <f t="shared" si="108"/>
        <v>82.30540185512362</v>
      </c>
      <c r="H81" s="112">
        <f t="shared" si="108"/>
        <v>82.30540185512362</v>
      </c>
      <c r="I81" s="112">
        <f t="shared" si="108"/>
        <v>82.30540185512362</v>
      </c>
      <c r="J81" s="112">
        <f t="shared" si="108"/>
        <v>82.30540185512362</v>
      </c>
      <c r="K81" s="112">
        <f t="shared" si="108"/>
        <v>82.30540185512362</v>
      </c>
      <c r="L81" s="112">
        <f t="shared" si="108"/>
        <v>82.30540185512362</v>
      </c>
      <c r="M81" s="112">
        <f t="shared" si="108"/>
        <v>82.30540185512362</v>
      </c>
      <c r="N81" s="19"/>
      <c r="O81" s="19"/>
      <c r="P81" s="19"/>
      <c r="Q81" s="19"/>
      <c r="R81" s="19"/>
      <c r="S81" s="19"/>
      <c r="T81" s="19"/>
      <c r="U81" s="19"/>
    </row>
    <row r="82" spans="1:21" s="6" customFormat="1" ht="17">
      <c r="A82" s="110" t="s">
        <v>140</v>
      </c>
      <c r="B82" s="111">
        <f>B71/B2*365</f>
        <v>2.5695315921164004</v>
      </c>
      <c r="C82" s="111">
        <f>C71/C2*365</f>
        <v>2.9340344783668266</v>
      </c>
      <c r="D82" s="111">
        <f>D71/D2*365</f>
        <v>4.6912455126744073</v>
      </c>
      <c r="E82" s="111">
        <f>E71/E2*365</f>
        <v>3.6292123290030709</v>
      </c>
      <c r="F82" s="112">
        <f t="shared" si="107"/>
        <v>3.4560059780401762</v>
      </c>
      <c r="G82" s="112">
        <f t="shared" si="108"/>
        <v>3.4560059780401762</v>
      </c>
      <c r="H82" s="112">
        <f t="shared" si="108"/>
        <v>3.4560059780401762</v>
      </c>
      <c r="I82" s="112">
        <f t="shared" si="108"/>
        <v>3.4560059780401762</v>
      </c>
      <c r="J82" s="112">
        <f t="shared" si="108"/>
        <v>3.4560059780401762</v>
      </c>
      <c r="K82" s="112">
        <f t="shared" si="108"/>
        <v>3.4560059780401762</v>
      </c>
      <c r="L82" s="112">
        <f t="shared" si="108"/>
        <v>3.4560059780401762</v>
      </c>
      <c r="M82" s="112">
        <f t="shared" si="108"/>
        <v>3.4560059780401762</v>
      </c>
      <c r="N82" s="19"/>
      <c r="O82" s="19"/>
      <c r="P82" s="19"/>
      <c r="Q82" s="19"/>
      <c r="R82" s="19"/>
      <c r="S82" s="19"/>
      <c r="T82" s="19"/>
      <c r="U82" s="19"/>
    </row>
    <row r="83" spans="1:21" s="6" customFormat="1">
      <c r="A83" s="2"/>
      <c r="B83" s="18"/>
      <c r="C83" s="18"/>
      <c r="D83" s="18"/>
      <c r="E83" s="18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 spans="1:21" s="28" customFormat="1" ht="17">
      <c r="A84" s="25" t="s">
        <v>82</v>
      </c>
      <c r="B84" s="26">
        <f t="shared" ref="B84:M84" si="109">B51-B73</f>
        <v>0</v>
      </c>
      <c r="C84" s="26">
        <f t="shared" si="109"/>
        <v>0</v>
      </c>
      <c r="D84" s="26">
        <f t="shared" si="109"/>
        <v>0</v>
      </c>
      <c r="E84" s="26">
        <f t="shared" si="109"/>
        <v>0</v>
      </c>
      <c r="F84" s="27">
        <f t="shared" si="109"/>
        <v>0</v>
      </c>
      <c r="G84" s="27">
        <f t="shared" si="109"/>
        <v>0</v>
      </c>
      <c r="H84" s="27">
        <f t="shared" si="109"/>
        <v>0</v>
      </c>
      <c r="I84" s="27">
        <f t="shared" si="109"/>
        <v>0</v>
      </c>
      <c r="J84" s="27">
        <f t="shared" si="109"/>
        <v>0</v>
      </c>
      <c r="K84" s="27">
        <f t="shared" si="109"/>
        <v>0</v>
      </c>
      <c r="L84" s="27">
        <f t="shared" si="109"/>
        <v>0</v>
      </c>
      <c r="M84" s="27">
        <f t="shared" si="109"/>
        <v>0</v>
      </c>
      <c r="N84" s="27"/>
      <c r="O84" s="27"/>
      <c r="P84" s="27"/>
      <c r="Q84" s="27"/>
      <c r="R84" s="27"/>
      <c r="S84" s="27"/>
      <c r="T84" s="27"/>
      <c r="U84" s="27"/>
    </row>
    <row r="85" spans="1:21" s="32" customFormat="1">
      <c r="A85" s="29"/>
      <c r="B85" s="30"/>
      <c r="C85" s="30"/>
      <c r="D85" s="30"/>
      <c r="E85" s="30"/>
      <c r="F85" s="34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</row>
    <row r="86" spans="1:21">
      <c r="B86" s="15"/>
      <c r="C86" s="15"/>
      <c r="D86" s="15"/>
      <c r="E86" s="15"/>
      <c r="F86" s="23"/>
      <c r="G86" s="4"/>
      <c r="H86" s="4"/>
      <c r="I86" s="4"/>
      <c r="J86" s="4"/>
      <c r="K86" s="4"/>
      <c r="L86" s="4"/>
      <c r="M86" s="4"/>
    </row>
    <row r="87" spans="1:21" ht="17">
      <c r="A87" s="113" t="s">
        <v>142</v>
      </c>
      <c r="B87" s="99"/>
      <c r="C87" s="99"/>
      <c r="D87" s="99"/>
      <c r="E87" s="99"/>
      <c r="F87" s="100"/>
      <c r="G87" s="79"/>
      <c r="H87" s="79"/>
      <c r="I87" s="79"/>
      <c r="J87" s="79"/>
      <c r="K87" s="79"/>
      <c r="L87" s="79"/>
      <c r="M87" s="79"/>
    </row>
    <row r="88" spans="1:21" ht="17">
      <c r="A88" s="98" t="s">
        <v>12</v>
      </c>
      <c r="B88" s="122">
        <f>B31</f>
        <v>221039</v>
      </c>
      <c r="C88" s="122">
        <f>C31</f>
        <v>399490</v>
      </c>
      <c r="D88" s="122">
        <f>D31</f>
        <v>465209</v>
      </c>
      <c r="E88" s="122">
        <f>E31</f>
        <v>530649</v>
      </c>
      <c r="F88" s="123">
        <f>F33</f>
        <v>630741.62989885616</v>
      </c>
      <c r="G88" s="123">
        <f t="shared" ref="G88:M88" si="110">G33</f>
        <v>685997.95295690012</v>
      </c>
      <c r="H88" s="123">
        <f t="shared" si="110"/>
        <v>740844.38112740964</v>
      </c>
      <c r="I88" s="123">
        <f t="shared" si="110"/>
        <v>793352.87166203081</v>
      </c>
      <c r="J88" s="123">
        <f t="shared" si="110"/>
        <v>843030.52304237057</v>
      </c>
      <c r="K88" s="123">
        <f t="shared" si="110"/>
        <v>895701.02984797175</v>
      </c>
      <c r="L88" s="123">
        <f t="shared" si="110"/>
        <v>942892.13435553317</v>
      </c>
      <c r="M88" s="123">
        <f t="shared" si="110"/>
        <v>992059.12887342938</v>
      </c>
    </row>
    <row r="89" spans="1:21" ht="17">
      <c r="A89" s="98" t="s">
        <v>13</v>
      </c>
      <c r="B89" s="122">
        <v>-22123</v>
      </c>
      <c r="C89" s="122">
        <v>13033</v>
      </c>
      <c r="D89" s="122">
        <v>34679</v>
      </c>
      <c r="E89" s="122">
        <v>11884</v>
      </c>
      <c r="F89" s="123">
        <f t="shared" ref="F89:M89" si="111">F30</f>
        <v>0</v>
      </c>
      <c r="G89" s="121">
        <f t="shared" si="111"/>
        <v>0</v>
      </c>
      <c r="H89" s="121">
        <f t="shared" si="111"/>
        <v>0</v>
      </c>
      <c r="I89" s="121">
        <f t="shared" si="111"/>
        <v>0</v>
      </c>
      <c r="J89" s="121">
        <f t="shared" si="111"/>
        <v>0</v>
      </c>
      <c r="K89" s="121">
        <f t="shared" si="111"/>
        <v>0</v>
      </c>
      <c r="L89" s="121">
        <f t="shared" si="111"/>
        <v>0</v>
      </c>
      <c r="M89" s="121">
        <f t="shared" si="111"/>
        <v>0</v>
      </c>
    </row>
    <row r="90" spans="1:21" ht="34">
      <c r="A90" s="98" t="s">
        <v>14</v>
      </c>
      <c r="B90" s="114"/>
      <c r="C90" s="114"/>
      <c r="D90" s="114"/>
      <c r="E90" s="114"/>
      <c r="F90" s="115"/>
      <c r="G90" s="81"/>
      <c r="H90" s="81"/>
      <c r="I90" s="81"/>
      <c r="J90" s="81"/>
      <c r="K90" s="81"/>
      <c r="L90" s="81"/>
      <c r="M90" s="81"/>
    </row>
    <row r="91" spans="1:21" ht="17">
      <c r="A91" s="98" t="s">
        <v>15</v>
      </c>
      <c r="B91" s="114"/>
      <c r="C91" s="114"/>
      <c r="D91" s="114"/>
      <c r="E91" s="114"/>
      <c r="F91" s="115"/>
      <c r="G91" s="81"/>
      <c r="H91" s="81"/>
      <c r="I91" s="81"/>
      <c r="J91" s="81"/>
      <c r="K91" s="81"/>
      <c r="L91" s="81"/>
      <c r="M91" s="81"/>
    </row>
    <row r="92" spans="1:21">
      <c r="A92" s="60" t="s">
        <v>88</v>
      </c>
      <c r="B92" s="99">
        <v>49886</v>
      </c>
      <c r="C92" s="99">
        <v>64248</v>
      </c>
      <c r="D92" s="99">
        <v>70975</v>
      </c>
      <c r="E92" s="99">
        <v>93420</v>
      </c>
      <c r="F92" s="100">
        <f t="shared" ref="F92:M92" si="112">F93*E37</f>
        <v>93420</v>
      </c>
      <c r="G92" s="100">
        <f t="shared" si="112"/>
        <v>119312.15074168304</v>
      </c>
      <c r="H92" s="100">
        <f t="shared" si="112"/>
        <v>143381.2851297954</v>
      </c>
      <c r="I92" s="100">
        <f t="shared" si="112"/>
        <v>166019.28605071991</v>
      </c>
      <c r="J92" s="100">
        <f t="shared" si="112"/>
        <v>187382.83552907695</v>
      </c>
      <c r="K92" s="100">
        <f t="shared" si="112"/>
        <v>207554.97496109965</v>
      </c>
      <c r="L92" s="100">
        <f t="shared" si="112"/>
        <v>227035.01076884204</v>
      </c>
      <c r="M92" s="100">
        <f t="shared" si="112"/>
        <v>245573.16449567073</v>
      </c>
    </row>
    <row r="93" spans="1:21" ht="17">
      <c r="A93" s="101" t="s">
        <v>95</v>
      </c>
      <c r="B93" s="96">
        <f>B92/B37</f>
        <v>0.23645903939403995</v>
      </c>
      <c r="C93" s="96">
        <f>C92/C37</f>
        <v>0.23699528576803619</v>
      </c>
      <c r="D93" s="96">
        <f>D92/D37</f>
        <v>0.21748722961564743</v>
      </c>
      <c r="E93" s="96">
        <f>E92/E37</f>
        <v>0.2456120055947586</v>
      </c>
      <c r="F93" s="102">
        <f>E93</f>
        <v>0.2456120055947586</v>
      </c>
      <c r="G93" s="102">
        <f t="shared" ref="G93:M93" si="113">F93</f>
        <v>0.2456120055947586</v>
      </c>
      <c r="H93" s="102">
        <f t="shared" si="113"/>
        <v>0.2456120055947586</v>
      </c>
      <c r="I93" s="102">
        <f t="shared" si="113"/>
        <v>0.2456120055947586</v>
      </c>
      <c r="J93" s="102">
        <f t="shared" si="113"/>
        <v>0.2456120055947586</v>
      </c>
      <c r="K93" s="102">
        <f t="shared" si="113"/>
        <v>0.2456120055947586</v>
      </c>
      <c r="L93" s="102">
        <f t="shared" si="113"/>
        <v>0.2456120055947586</v>
      </c>
      <c r="M93" s="102">
        <f t="shared" si="113"/>
        <v>0.2456120055947586</v>
      </c>
    </row>
    <row r="94" spans="1:21">
      <c r="A94" s="60" t="s">
        <v>89</v>
      </c>
      <c r="B94" s="99">
        <v>19567</v>
      </c>
      <c r="C94" s="99">
        <v>26966</v>
      </c>
      <c r="D94" s="99">
        <v>32903</v>
      </c>
      <c r="E94" s="99">
        <v>41154</v>
      </c>
      <c r="F94" s="100">
        <f t="shared" ref="F94:M94" si="114">F95*E38</f>
        <v>41154</v>
      </c>
      <c r="G94" s="100">
        <f t="shared" si="114"/>
        <v>44067.389603220952</v>
      </c>
      <c r="H94" s="100">
        <f t="shared" si="114"/>
        <v>47259.351630244339</v>
      </c>
      <c r="I94" s="100">
        <f t="shared" si="114"/>
        <v>50723.705023666902</v>
      </c>
      <c r="J94" s="100">
        <f t="shared" si="114"/>
        <v>54445.009711696861</v>
      </c>
      <c r="K94" s="100">
        <f t="shared" si="114"/>
        <v>58405.604221744572</v>
      </c>
      <c r="L94" s="100">
        <f t="shared" si="114"/>
        <v>62617.248636096469</v>
      </c>
      <c r="M94" s="100">
        <f t="shared" si="114"/>
        <v>67049.612582762842</v>
      </c>
    </row>
    <row r="95" spans="1:21" ht="17">
      <c r="A95" s="101" t="s">
        <v>96</v>
      </c>
      <c r="B95" s="96">
        <f>B94/B38</f>
        <v>7.3539194470147225E-3</v>
      </c>
      <c r="C95" s="96">
        <f>C94/C38</f>
        <v>6.6381489987019596E-3</v>
      </c>
      <c r="D95" s="96">
        <f>D94/D38</f>
        <v>7.9972933210217031E-3</v>
      </c>
      <c r="E95" s="96">
        <f>E94/E38</f>
        <v>8.7455267206718625E-3</v>
      </c>
      <c r="F95" s="102">
        <f>E95</f>
        <v>8.7455267206718625E-3</v>
      </c>
      <c r="G95" s="102">
        <f t="shared" ref="G95:M95" si="115">F95</f>
        <v>8.7455267206718625E-3</v>
      </c>
      <c r="H95" s="102">
        <f t="shared" si="115"/>
        <v>8.7455267206718625E-3</v>
      </c>
      <c r="I95" s="102">
        <f t="shared" si="115"/>
        <v>8.7455267206718625E-3</v>
      </c>
      <c r="J95" s="102">
        <f t="shared" si="115"/>
        <v>8.7455267206718625E-3</v>
      </c>
      <c r="K95" s="102">
        <f t="shared" si="115"/>
        <v>8.7455267206718625E-3</v>
      </c>
      <c r="L95" s="102">
        <f t="shared" si="115"/>
        <v>8.7455267206718625E-3</v>
      </c>
      <c r="M95" s="102">
        <f t="shared" si="115"/>
        <v>8.7455267206718625E-3</v>
      </c>
    </row>
    <row r="96" spans="1:21">
      <c r="A96" s="60" t="s">
        <v>90</v>
      </c>
      <c r="B96" s="99">
        <v>37071</v>
      </c>
      <c r="C96" s="99">
        <v>53739</v>
      </c>
      <c r="D96" s="99">
        <v>65826</v>
      </c>
      <c r="E96" s="99">
        <v>75921</v>
      </c>
      <c r="F96" s="100">
        <f t="shared" ref="F96:M96" si="116">F97*E40</f>
        <v>75921</v>
      </c>
      <c r="G96" s="100">
        <f t="shared" si="116"/>
        <v>60132.511463366529</v>
      </c>
      <c r="H96" s="100">
        <f t="shared" si="116"/>
        <v>47627.388138879985</v>
      </c>
      <c r="I96" s="100">
        <f t="shared" si="116"/>
        <v>37722.823240360478</v>
      </c>
      <c r="J96" s="100">
        <f t="shared" si="116"/>
        <v>29878.006097542522</v>
      </c>
      <c r="K96" s="100">
        <f t="shared" si="116"/>
        <v>23664.592723528545</v>
      </c>
      <c r="L96" s="100">
        <f t="shared" si="116"/>
        <v>18743.317306456454</v>
      </c>
      <c r="M96" s="100">
        <f t="shared" si="116"/>
        <v>14845.467562229276</v>
      </c>
    </row>
    <row r="97" spans="1:21" ht="17">
      <c r="A97" s="101" t="s">
        <v>97</v>
      </c>
      <c r="B97" s="96">
        <f>B96/B40</f>
        <v>0.19650363365544146</v>
      </c>
      <c r="C97" s="96">
        <f>C96/C40</f>
        <v>0.22403104976383337</v>
      </c>
      <c r="D97" s="96">
        <f>D96/D40</f>
        <v>0.22862441911350992</v>
      </c>
      <c r="E97" s="96">
        <f>E96/E40</f>
        <v>0.20795943858265128</v>
      </c>
      <c r="F97" s="102">
        <f>E97</f>
        <v>0.20795943858265128</v>
      </c>
      <c r="G97" s="102">
        <f t="shared" ref="G97:M97" si="117">F97</f>
        <v>0.20795943858265128</v>
      </c>
      <c r="H97" s="102">
        <f t="shared" si="117"/>
        <v>0.20795943858265128</v>
      </c>
      <c r="I97" s="102">
        <f t="shared" si="117"/>
        <v>0.20795943858265128</v>
      </c>
      <c r="J97" s="102">
        <f t="shared" si="117"/>
        <v>0.20795943858265128</v>
      </c>
      <c r="K97" s="102">
        <f t="shared" si="117"/>
        <v>0.20795943858265128</v>
      </c>
      <c r="L97" s="102">
        <f t="shared" si="117"/>
        <v>0.20795943858265128</v>
      </c>
      <c r="M97" s="102">
        <f t="shared" si="117"/>
        <v>0.20795943858265128</v>
      </c>
    </row>
    <row r="98" spans="1:21" s="24" customFormat="1" ht="17">
      <c r="A98" s="110" t="s">
        <v>145</v>
      </c>
      <c r="B98" s="102"/>
      <c r="C98" s="102"/>
      <c r="D98" s="102"/>
      <c r="E98" s="102"/>
      <c r="F98" s="115">
        <f>'CapEx Readjustments'!F13</f>
        <v>21676.3125</v>
      </c>
      <c r="G98" s="115">
        <f>'CapEx Readjustments'!G13</f>
        <v>27021.982692377969</v>
      </c>
      <c r="H98" s="115">
        <f>'CapEx Readjustments'!H13</f>
        <v>32031.154502700268</v>
      </c>
      <c r="I98" s="115">
        <f>'CapEx Readjustments'!I13</f>
        <v>36775.637206544372</v>
      </c>
      <c r="J98" s="115">
        <f>'CapEx Readjustments'!J13</f>
        <v>41278.660328614322</v>
      </c>
      <c r="K98" s="115">
        <f>'CapEx Readjustments'!K13</f>
        <v>45549.896530893879</v>
      </c>
      <c r="L98" s="115">
        <f>'CapEx Readjustments'!L13</f>
        <v>49692.849548460137</v>
      </c>
      <c r="M98" s="115">
        <f>'CapEx Readjustments'!M13</f>
        <v>53647.064636818977</v>
      </c>
      <c r="N98" s="23"/>
      <c r="O98" s="23"/>
      <c r="P98" s="23"/>
      <c r="Q98" s="23"/>
      <c r="R98" s="23"/>
      <c r="S98" s="23"/>
      <c r="T98" s="23"/>
      <c r="U98" s="23"/>
    </row>
    <row r="99" spans="1:21" s="6" customFormat="1" ht="17">
      <c r="A99" s="103" t="s">
        <v>109</v>
      </c>
      <c r="B99" s="124">
        <f>B96+B94+B92</f>
        <v>106524</v>
      </c>
      <c r="C99" s="124">
        <f t="shared" ref="C99:E99" si="118">C96+C94+C92</f>
        <v>144953</v>
      </c>
      <c r="D99" s="124">
        <f t="shared" si="118"/>
        <v>169704</v>
      </c>
      <c r="E99" s="124">
        <f t="shared" si="118"/>
        <v>210495</v>
      </c>
      <c r="F99" s="125">
        <f>F96+F94+F92+F98</f>
        <v>232171.3125</v>
      </c>
      <c r="G99" s="125">
        <f t="shared" ref="G99:M99" si="119">G96+G94+G92+G98</f>
        <v>250534.03450064847</v>
      </c>
      <c r="H99" s="125">
        <f t="shared" si="119"/>
        <v>270299.17940162</v>
      </c>
      <c r="I99" s="125">
        <f t="shared" si="119"/>
        <v>291241.45152129163</v>
      </c>
      <c r="J99" s="125">
        <f t="shared" si="119"/>
        <v>312984.51166693063</v>
      </c>
      <c r="K99" s="125">
        <f t="shared" si="119"/>
        <v>335175.06843726663</v>
      </c>
      <c r="L99" s="125">
        <f t="shared" si="119"/>
        <v>358088.4262598551</v>
      </c>
      <c r="M99" s="125">
        <f t="shared" si="119"/>
        <v>381115.30927748187</v>
      </c>
      <c r="N99" s="19"/>
      <c r="O99" s="19"/>
      <c r="P99" s="19"/>
      <c r="Q99" s="19"/>
      <c r="R99" s="19"/>
      <c r="S99" s="19"/>
      <c r="T99" s="19"/>
      <c r="U99" s="19"/>
    </row>
    <row r="100" spans="1:21" ht="17">
      <c r="A100" s="98" t="s">
        <v>434</v>
      </c>
      <c r="B100" s="126">
        <v>67892</v>
      </c>
      <c r="C100" s="126">
        <v>-32774</v>
      </c>
      <c r="D100" s="126">
        <v>-19370</v>
      </c>
      <c r="E100" s="126">
        <v>-20283</v>
      </c>
      <c r="F100" s="127">
        <v>0</v>
      </c>
      <c r="G100" s="127">
        <v>0</v>
      </c>
      <c r="H100" s="127">
        <v>0</v>
      </c>
      <c r="I100" s="127">
        <v>0</v>
      </c>
      <c r="J100" s="127">
        <v>0</v>
      </c>
      <c r="K100" s="127">
        <v>0</v>
      </c>
      <c r="L100" s="127">
        <v>0</v>
      </c>
      <c r="M100" s="127">
        <v>0</v>
      </c>
    </row>
    <row r="101" spans="1:21" ht="17">
      <c r="A101" s="98" t="s">
        <v>435</v>
      </c>
      <c r="B101" s="126">
        <v>1300</v>
      </c>
      <c r="C101" s="126">
        <v>3024</v>
      </c>
      <c r="D101" s="126">
        <v>5098</v>
      </c>
      <c r="E101" s="126">
        <v>8868</v>
      </c>
      <c r="F101" s="127">
        <v>0</v>
      </c>
      <c r="G101" s="127">
        <v>0</v>
      </c>
      <c r="H101" s="127">
        <v>0</v>
      </c>
      <c r="I101" s="127">
        <v>0</v>
      </c>
      <c r="J101" s="127">
        <v>0</v>
      </c>
      <c r="K101" s="127">
        <v>0</v>
      </c>
      <c r="L101" s="127">
        <v>0</v>
      </c>
      <c r="M101" s="127">
        <v>0</v>
      </c>
    </row>
    <row r="102" spans="1:21" ht="17">
      <c r="A102" s="98" t="s">
        <v>436</v>
      </c>
      <c r="B102" s="126">
        <v>25570</v>
      </c>
      <c r="C102" s="126">
        <v>29968</v>
      </c>
      <c r="D102" s="126">
        <v>54364</v>
      </c>
      <c r="E102" s="126">
        <v>58217</v>
      </c>
      <c r="F102" s="127">
        <v>0</v>
      </c>
      <c r="G102" s="127">
        <v>0</v>
      </c>
      <c r="H102" s="127">
        <v>0</v>
      </c>
      <c r="I102" s="127">
        <v>0</v>
      </c>
      <c r="J102" s="127">
        <v>0</v>
      </c>
      <c r="K102" s="127">
        <v>0</v>
      </c>
      <c r="L102" s="127">
        <v>0</v>
      </c>
      <c r="M102" s="127">
        <v>0</v>
      </c>
    </row>
    <row r="103" spans="1:21" ht="17">
      <c r="A103" s="98" t="s">
        <v>437</v>
      </c>
      <c r="B103" s="126">
        <v>16435</v>
      </c>
      <c r="C103" s="126">
        <v>17340</v>
      </c>
      <c r="D103" s="126">
        <v>26223</v>
      </c>
      <c r="E103" s="126">
        <v>-15314</v>
      </c>
      <c r="F103" s="127">
        <v>0</v>
      </c>
      <c r="G103" s="127">
        <v>0</v>
      </c>
      <c r="H103" s="127">
        <v>0</v>
      </c>
      <c r="I103" s="127">
        <v>0</v>
      </c>
      <c r="J103" s="127">
        <v>0</v>
      </c>
      <c r="K103" s="127">
        <v>0</v>
      </c>
      <c r="L103" s="127">
        <v>0</v>
      </c>
      <c r="M103" s="127">
        <v>0</v>
      </c>
    </row>
    <row r="104" spans="1:21" ht="17">
      <c r="A104" s="98" t="s">
        <v>438</v>
      </c>
      <c r="B104" s="126">
        <v>32</v>
      </c>
      <c r="C104" s="126">
        <v>69</v>
      </c>
      <c r="D104" s="126">
        <v>-457</v>
      </c>
      <c r="E104" s="126">
        <v>668</v>
      </c>
      <c r="F104" s="127">
        <v>0</v>
      </c>
      <c r="G104" s="127">
        <v>0</v>
      </c>
      <c r="H104" s="127">
        <v>0</v>
      </c>
      <c r="I104" s="127">
        <v>0</v>
      </c>
      <c r="J104" s="127">
        <v>0</v>
      </c>
      <c r="K104" s="127">
        <v>0</v>
      </c>
      <c r="L104" s="127">
        <v>0</v>
      </c>
      <c r="M104" s="127">
        <v>0</v>
      </c>
    </row>
    <row r="105" spans="1:21" ht="17">
      <c r="A105" s="98" t="s">
        <v>439</v>
      </c>
      <c r="B105" s="126">
        <v>55407</v>
      </c>
      <c r="C105" s="126">
        <v>58676</v>
      </c>
      <c r="D105" s="126">
        <v>66787</v>
      </c>
      <c r="E105" s="126">
        <v>-25663</v>
      </c>
      <c r="F105" s="127">
        <v>0</v>
      </c>
      <c r="G105" s="127">
        <v>0</v>
      </c>
      <c r="H105" s="127">
        <v>0</v>
      </c>
      <c r="I105" s="127">
        <v>0</v>
      </c>
      <c r="J105" s="127">
        <v>0</v>
      </c>
      <c r="K105" s="127">
        <v>0</v>
      </c>
      <c r="L105" s="127">
        <v>0</v>
      </c>
      <c r="M105" s="127">
        <v>0</v>
      </c>
    </row>
    <row r="106" spans="1:21" ht="17">
      <c r="A106" s="98" t="s">
        <v>440</v>
      </c>
      <c r="B106" s="126">
        <v>-28494</v>
      </c>
      <c r="C106" s="126">
        <v>-55621</v>
      </c>
      <c r="D106" s="126">
        <v>-51347</v>
      </c>
      <c r="E106" s="126">
        <v>-61060</v>
      </c>
      <c r="F106" s="127">
        <v>0</v>
      </c>
      <c r="G106" s="127">
        <v>0</v>
      </c>
      <c r="H106" s="127">
        <v>0</v>
      </c>
      <c r="I106" s="127">
        <v>0</v>
      </c>
      <c r="J106" s="127">
        <v>0</v>
      </c>
      <c r="K106" s="127">
        <v>0</v>
      </c>
      <c r="L106" s="127">
        <v>0</v>
      </c>
      <c r="M106" s="127">
        <v>0</v>
      </c>
    </row>
    <row r="107" spans="1:21" ht="17">
      <c r="A107" s="98" t="s">
        <v>441</v>
      </c>
      <c r="B107" s="126">
        <f>SUM(B99:B106)+B89+B88</f>
        <v>443582</v>
      </c>
      <c r="C107" s="126">
        <f t="shared" ref="C107:F107" si="120">SUM(C99:C106)+C89+C88</f>
        <v>578158</v>
      </c>
      <c r="D107" s="126">
        <f t="shared" si="120"/>
        <v>750890</v>
      </c>
      <c r="E107" s="126">
        <f t="shared" si="120"/>
        <v>698461</v>
      </c>
      <c r="F107" s="127">
        <f t="shared" si="120"/>
        <v>862912.94239885616</v>
      </c>
      <c r="G107" s="127">
        <f t="shared" ref="G107" si="121">SUM(G99:G106)+G89+G88</f>
        <v>936531.98745754862</v>
      </c>
      <c r="H107" s="127">
        <f t="shared" ref="H107" si="122">SUM(H99:H106)+H89+H88</f>
        <v>1011143.5605290297</v>
      </c>
      <c r="I107" s="127">
        <f t="shared" ref="I107" si="123">SUM(I99:I106)+I89+I88</f>
        <v>1084594.3231833223</v>
      </c>
      <c r="J107" s="127">
        <f t="shared" ref="J107" si="124">SUM(J99:J106)+J89+J88</f>
        <v>1156015.0347093013</v>
      </c>
      <c r="K107" s="127">
        <f t="shared" ref="K107" si="125">SUM(K99:K106)+K89+K88</f>
        <v>1230876.0982852383</v>
      </c>
      <c r="L107" s="127">
        <f t="shared" ref="L107" si="126">SUM(L99:L106)+L89+L88</f>
        <v>1300980.5606153882</v>
      </c>
      <c r="M107" s="127">
        <f t="shared" ref="M107" si="127">SUM(M99:M106)+M89+M88</f>
        <v>1373174.4381509111</v>
      </c>
    </row>
    <row r="108" spans="1:21" ht="17">
      <c r="A108" s="98" t="s">
        <v>442</v>
      </c>
      <c r="B108" s="114"/>
      <c r="C108" s="114"/>
      <c r="D108" s="114"/>
      <c r="E108" s="114"/>
      <c r="F108" s="115"/>
      <c r="G108" s="115"/>
      <c r="H108" s="115"/>
      <c r="I108" s="115"/>
      <c r="J108" s="115"/>
      <c r="K108" s="115"/>
      <c r="L108" s="115"/>
      <c r="M108" s="115"/>
    </row>
    <row r="109" spans="1:21" ht="17">
      <c r="A109" s="98" t="s">
        <v>443</v>
      </c>
      <c r="B109" s="126"/>
      <c r="C109" s="126"/>
      <c r="D109" s="126"/>
      <c r="E109" s="126"/>
      <c r="F109" s="127">
        <f t="shared" ref="F109:M111" si="128">-(F46-E46)</f>
        <v>-121056.18098283675</v>
      </c>
      <c r="G109" s="127">
        <f t="shared" si="128"/>
        <v>-78153.259607734159</v>
      </c>
      <c r="H109" s="127">
        <f t="shared" si="128"/>
        <v>-77190.699404035229</v>
      </c>
      <c r="I109" s="127">
        <f t="shared" si="128"/>
        <v>-73834.312055226881</v>
      </c>
      <c r="J109" s="127">
        <f t="shared" si="128"/>
        <v>-69872.228502640733</v>
      </c>
      <c r="K109" s="127">
        <f t="shared" si="128"/>
        <v>-73432.94477827847</v>
      </c>
      <c r="L109" s="127">
        <f t="shared" si="128"/>
        <v>-66201.187606180785</v>
      </c>
      <c r="M109" s="127">
        <f t="shared" si="128"/>
        <v>-68505.926329504466</v>
      </c>
    </row>
    <row r="110" spans="1:21" ht="17">
      <c r="A110" s="98" t="s">
        <v>102</v>
      </c>
      <c r="B110" s="126"/>
      <c r="C110" s="126"/>
      <c r="D110" s="126"/>
      <c r="E110" s="126"/>
      <c r="F110" s="127">
        <f t="shared" si="128"/>
        <v>-31800.82902485528</v>
      </c>
      <c r="G110" s="127">
        <f t="shared" si="128"/>
        <v>-55670.728674007114</v>
      </c>
      <c r="H110" s="127">
        <f t="shared" si="128"/>
        <v>-54985.070414819056</v>
      </c>
      <c r="I110" s="127">
        <f t="shared" si="128"/>
        <v>-52594.222862736904</v>
      </c>
      <c r="J110" s="127">
        <f t="shared" si="128"/>
        <v>-49771.921150091221</v>
      </c>
      <c r="K110" s="127">
        <f t="shared" si="128"/>
        <v>-52308.31784884783</v>
      </c>
      <c r="L110" s="127">
        <f t="shared" si="128"/>
        <v>-47156.937172151054</v>
      </c>
      <c r="M110" s="127">
        <f t="shared" si="128"/>
        <v>-48798.666317866184</v>
      </c>
    </row>
    <row r="111" spans="1:21" ht="17">
      <c r="A111" s="98" t="s">
        <v>103</v>
      </c>
      <c r="B111" s="126"/>
      <c r="C111" s="126"/>
      <c r="D111" s="126"/>
      <c r="E111" s="126"/>
      <c r="F111" s="127">
        <f t="shared" si="128"/>
        <v>139411.87595525073</v>
      </c>
      <c r="G111" s="127">
        <f t="shared" si="128"/>
        <v>-13336.820680112258</v>
      </c>
      <c r="H111" s="127">
        <f t="shared" si="128"/>
        <v>-13172.560188675619</v>
      </c>
      <c r="I111" s="127">
        <f t="shared" si="128"/>
        <v>-12599.794107916707</v>
      </c>
      <c r="J111" s="127">
        <f t="shared" si="128"/>
        <v>-11923.666226294328</v>
      </c>
      <c r="K111" s="127">
        <f t="shared" si="128"/>
        <v>-12531.300951951183</v>
      </c>
      <c r="L111" s="127">
        <f t="shared" si="128"/>
        <v>-11297.204650779895</v>
      </c>
      <c r="M111" s="127">
        <f t="shared" si="128"/>
        <v>-11690.507338623807</v>
      </c>
    </row>
    <row r="112" spans="1:21" ht="17">
      <c r="A112" s="98" t="s">
        <v>104</v>
      </c>
      <c r="B112" s="126"/>
      <c r="C112" s="126"/>
      <c r="D112" s="126"/>
      <c r="E112" s="126"/>
      <c r="F112" s="127">
        <f>F68-E68</f>
        <v>-138849.56723581062</v>
      </c>
      <c r="G112" s="127">
        <f t="shared" ref="G112:M112" si="129">G68-F68</f>
        <v>36070.703336005157</v>
      </c>
      <c r="H112" s="127">
        <f t="shared" si="129"/>
        <v>35626.445172942826</v>
      </c>
      <c r="I112" s="127">
        <f t="shared" si="129"/>
        <v>34077.344688238052</v>
      </c>
      <c r="J112" s="127">
        <f t="shared" si="129"/>
        <v>32248.692356459389</v>
      </c>
      <c r="K112" s="127">
        <f t="shared" si="129"/>
        <v>33892.09841638396</v>
      </c>
      <c r="L112" s="127">
        <f t="shared" si="129"/>
        <v>30554.367285756161</v>
      </c>
      <c r="M112" s="127">
        <f t="shared" si="129"/>
        <v>31618.091910593212</v>
      </c>
    </row>
    <row r="113" spans="1:21" ht="17">
      <c r="A113" s="98" t="s">
        <v>105</v>
      </c>
      <c r="B113" s="126"/>
      <c r="C113" s="126"/>
      <c r="D113" s="126"/>
      <c r="E113" s="126"/>
      <c r="F113" s="127">
        <f>F69-E69</f>
        <v>57982.201083166292</v>
      </c>
      <c r="G113" s="127">
        <f t="shared" ref="G113:M113" si="130">G69-F69</f>
        <v>26702.989696536853</v>
      </c>
      <c r="H113" s="127">
        <f t="shared" si="130"/>
        <v>26374.107250293717</v>
      </c>
      <c r="I113" s="127">
        <f t="shared" si="130"/>
        <v>25227.314688567363</v>
      </c>
      <c r="J113" s="127">
        <f t="shared" si="130"/>
        <v>23873.571072337509</v>
      </c>
      <c r="K113" s="127">
        <f t="shared" si="130"/>
        <v>25090.177654044761</v>
      </c>
      <c r="L113" s="127">
        <f t="shared" si="130"/>
        <v>22619.269361497136</v>
      </c>
      <c r="M113" s="127">
        <f t="shared" si="130"/>
        <v>23406.740219283733</v>
      </c>
    </row>
    <row r="114" spans="1:21" ht="17">
      <c r="A114" s="98" t="s">
        <v>106</v>
      </c>
      <c r="B114" s="126"/>
      <c r="C114" s="126"/>
      <c r="D114" s="126"/>
      <c r="E114" s="126"/>
      <c r="F114" s="127">
        <f>F70-E70</f>
        <v>173588.7899048687</v>
      </c>
      <c r="G114" s="127">
        <f t="shared" ref="G114:M114" si="131">G70-F70</f>
        <v>108921.63650483429</v>
      </c>
      <c r="H114" s="127">
        <f t="shared" si="131"/>
        <v>107580.12326344755</v>
      </c>
      <c r="I114" s="127">
        <f t="shared" si="131"/>
        <v>102902.35032587219</v>
      </c>
      <c r="J114" s="127">
        <f t="shared" si="131"/>
        <v>97380.422940084711</v>
      </c>
      <c r="K114" s="127">
        <f t="shared" si="131"/>
        <v>102342.96763519337</v>
      </c>
      <c r="L114" s="127">
        <f t="shared" si="131"/>
        <v>92264.119613447227</v>
      </c>
      <c r="M114" s="127">
        <f t="shared" si="131"/>
        <v>95476.217416155618</v>
      </c>
    </row>
    <row r="115" spans="1:21" ht="17">
      <c r="A115" s="98" t="s">
        <v>107</v>
      </c>
      <c r="B115" s="126"/>
      <c r="C115" s="126"/>
      <c r="D115" s="126"/>
      <c r="E115" s="126"/>
      <c r="F115" s="127">
        <f>F71-E71</f>
        <v>1612.8737782859971</v>
      </c>
      <c r="G115" s="127">
        <f t="shared" ref="G115:M115" si="132">G71-F71</f>
        <v>4573.6223675966758</v>
      </c>
      <c r="H115" s="127">
        <f t="shared" si="132"/>
        <v>4517.2921914800099</v>
      </c>
      <c r="I115" s="127">
        <f t="shared" si="132"/>
        <v>4320.8723834019111</v>
      </c>
      <c r="J115" s="127">
        <f t="shared" si="132"/>
        <v>4089.0065079496635</v>
      </c>
      <c r="K115" s="127">
        <f t="shared" si="132"/>
        <v>4297.3838895798108</v>
      </c>
      <c r="L115" s="127">
        <f t="shared" si="132"/>
        <v>3874.1727973573579</v>
      </c>
      <c r="M115" s="127">
        <f t="shared" si="132"/>
        <v>4009.0488681619463</v>
      </c>
    </row>
    <row r="116" spans="1:21" s="6" customFormat="1" ht="17">
      <c r="A116" s="103" t="s">
        <v>108</v>
      </c>
      <c r="B116" s="126">
        <v>67442</v>
      </c>
      <c r="C116" s="126">
        <v>-158424</v>
      </c>
      <c r="D116" s="126">
        <v>-194416</v>
      </c>
      <c r="E116" s="126">
        <v>41231</v>
      </c>
      <c r="F116" s="125">
        <f>SUM(F109:F115)</f>
        <v>80889.163478069051</v>
      </c>
      <c r="G116" s="125">
        <f t="shared" ref="G116:M116" si="133">SUM(G109:G115)</f>
        <v>29108.142943119441</v>
      </c>
      <c r="H116" s="125">
        <f t="shared" si="133"/>
        <v>28749.637870634193</v>
      </c>
      <c r="I116" s="125">
        <f t="shared" si="133"/>
        <v>27499.553060199025</v>
      </c>
      <c r="J116" s="125">
        <f t="shared" si="133"/>
        <v>26023.87699780499</v>
      </c>
      <c r="K116" s="125">
        <f t="shared" si="133"/>
        <v>27350.064016124423</v>
      </c>
      <c r="L116" s="125">
        <f t="shared" si="133"/>
        <v>24656.599628946147</v>
      </c>
      <c r="M116" s="125">
        <f t="shared" si="133"/>
        <v>25514.998428200051</v>
      </c>
      <c r="N116" s="19"/>
      <c r="O116" s="19"/>
      <c r="P116" s="19"/>
      <c r="Q116" s="19"/>
      <c r="R116" s="19"/>
      <c r="S116" s="19"/>
      <c r="T116" s="19"/>
      <c r="U116" s="19"/>
    </row>
    <row r="117" spans="1:21" s="6" customFormat="1" ht="17">
      <c r="A117" s="103" t="s">
        <v>16</v>
      </c>
      <c r="B117" s="124">
        <f>B107+B116</f>
        <v>511024</v>
      </c>
      <c r="C117" s="124">
        <f t="shared" ref="C117:E117" si="134">C107+C116</f>
        <v>419734</v>
      </c>
      <c r="D117" s="124">
        <f t="shared" si="134"/>
        <v>556474</v>
      </c>
      <c r="E117" s="124">
        <f t="shared" si="134"/>
        <v>739692</v>
      </c>
      <c r="F117" s="125">
        <f>F107+F116</f>
        <v>943802.10587692517</v>
      </c>
      <c r="G117" s="125">
        <f t="shared" ref="G117:M117" si="135">G107+G116</f>
        <v>965640.13040066801</v>
      </c>
      <c r="H117" s="125">
        <f t="shared" si="135"/>
        <v>1039893.1983996639</v>
      </c>
      <c r="I117" s="125">
        <f t="shared" si="135"/>
        <v>1112093.8762435215</v>
      </c>
      <c r="J117" s="125">
        <f t="shared" si="135"/>
        <v>1182038.9117071063</v>
      </c>
      <c r="K117" s="125">
        <f t="shared" si="135"/>
        <v>1258226.1623013627</v>
      </c>
      <c r="L117" s="125">
        <f t="shared" si="135"/>
        <v>1325637.1602443343</v>
      </c>
      <c r="M117" s="125">
        <f t="shared" si="135"/>
        <v>1398689.4365791113</v>
      </c>
      <c r="N117" s="19"/>
      <c r="O117" s="19"/>
      <c r="P117" s="19"/>
      <c r="Q117" s="19"/>
      <c r="R117" s="19"/>
      <c r="S117" s="19"/>
      <c r="T117" s="19"/>
      <c r="U117" s="19"/>
    </row>
    <row r="118" spans="1:21" s="24" customFormat="1" ht="17">
      <c r="A118" s="110" t="s">
        <v>17</v>
      </c>
      <c r="B118" s="116"/>
      <c r="C118" s="116"/>
      <c r="D118" s="116"/>
      <c r="E118" s="116"/>
      <c r="F118" s="115"/>
      <c r="G118" s="115"/>
      <c r="H118" s="115"/>
      <c r="I118" s="115"/>
      <c r="J118" s="115"/>
      <c r="K118" s="115"/>
      <c r="L118" s="115"/>
      <c r="M118" s="115"/>
      <c r="N118" s="23"/>
      <c r="O118" s="23"/>
      <c r="P118" s="23"/>
      <c r="Q118" s="23"/>
      <c r="R118" s="23"/>
      <c r="S118" s="23"/>
      <c r="T118" s="23"/>
      <c r="U118" s="23"/>
    </row>
    <row r="119" spans="1:21" ht="17">
      <c r="A119" s="98" t="s">
        <v>18</v>
      </c>
      <c r="B119" s="126">
        <v>-77218</v>
      </c>
      <c r="C119" s="126">
        <v>-151587</v>
      </c>
      <c r="D119" s="126">
        <v>-177919</v>
      </c>
      <c r="E119" s="126">
        <v>-190919</v>
      </c>
      <c r="F119" s="127">
        <f t="shared" ref="F119:M119" si="136">F120*F2</f>
        <v>-198838.91337511881</v>
      </c>
      <c r="G119" s="128">
        <f t="shared" si="136"/>
        <v>-217308.72191835681</v>
      </c>
      <c r="H119" s="128">
        <f t="shared" si="136"/>
        <v>-235551.05047211147</v>
      </c>
      <c r="I119" s="128">
        <f t="shared" si="136"/>
        <v>-253000.17050147968</v>
      </c>
      <c r="J119" s="128">
        <f t="shared" si="136"/>
        <v>-269512.93899521302</v>
      </c>
      <c r="K119" s="128">
        <f t="shared" si="136"/>
        <v>-286867.20467304217</v>
      </c>
      <c r="L119" s="128">
        <f t="shared" si="136"/>
        <v>-302512.40317862231</v>
      </c>
      <c r="M119" s="128">
        <f t="shared" si="136"/>
        <v>-318702.27612485451</v>
      </c>
    </row>
    <row r="120" spans="1:21" ht="17">
      <c r="A120" s="101" t="s">
        <v>93</v>
      </c>
      <c r="B120" s="96">
        <f>B119/B2</f>
        <v>-2.9871428063003188E-2</v>
      </c>
      <c r="C120" s="96">
        <f>C119/C2</f>
        <v>-4.18794547357818E-2</v>
      </c>
      <c r="D120" s="96">
        <f>D119/D2</f>
        <v>-4.1337414124826589E-2</v>
      </c>
      <c r="E120" s="96">
        <f>E119/E2</f>
        <v>-3.9859667846888137E-2</v>
      </c>
      <c r="F120" s="102">
        <f>AVERAGE(B120:E120)</f>
        <v>-3.8236991192624928E-2</v>
      </c>
      <c r="G120" s="86">
        <f>F120</f>
        <v>-3.8236991192624928E-2</v>
      </c>
      <c r="H120" s="86">
        <f t="shared" ref="H120:M120" si="137">G120</f>
        <v>-3.8236991192624928E-2</v>
      </c>
      <c r="I120" s="86">
        <f t="shared" si="137"/>
        <v>-3.8236991192624928E-2</v>
      </c>
      <c r="J120" s="86">
        <f t="shared" si="137"/>
        <v>-3.8236991192624928E-2</v>
      </c>
      <c r="K120" s="86">
        <f t="shared" si="137"/>
        <v>-3.8236991192624928E-2</v>
      </c>
      <c r="L120" s="86">
        <f t="shared" si="137"/>
        <v>-3.8236991192624928E-2</v>
      </c>
      <c r="M120" s="86">
        <f t="shared" si="137"/>
        <v>-3.8236991192624928E-2</v>
      </c>
      <c r="N120" s="5"/>
    </row>
    <row r="121" spans="1:21" ht="17">
      <c r="A121" s="98" t="s">
        <v>426</v>
      </c>
      <c r="B121" s="126">
        <v>137</v>
      </c>
      <c r="C121" s="126">
        <v>538</v>
      </c>
      <c r="D121" s="126">
        <v>1391</v>
      </c>
      <c r="E121" s="126">
        <v>139</v>
      </c>
      <c r="F121" s="127">
        <v>0</v>
      </c>
      <c r="G121" s="127">
        <v>0</v>
      </c>
      <c r="H121" s="127">
        <v>0</v>
      </c>
      <c r="I121" s="127">
        <v>0</v>
      </c>
      <c r="J121" s="127">
        <v>0</v>
      </c>
      <c r="K121" s="127">
        <v>0</v>
      </c>
      <c r="L121" s="127">
        <v>0</v>
      </c>
      <c r="M121" s="127">
        <v>0</v>
      </c>
    </row>
    <row r="122" spans="1:21" ht="17">
      <c r="A122" s="98" t="s">
        <v>427</v>
      </c>
      <c r="B122" s="126">
        <v>0</v>
      </c>
      <c r="C122" s="126">
        <v>19934</v>
      </c>
      <c r="D122" s="126">
        <v>25464</v>
      </c>
      <c r="E122" s="126">
        <v>14722</v>
      </c>
      <c r="F122" s="127">
        <v>0</v>
      </c>
      <c r="G122" s="127">
        <v>0</v>
      </c>
      <c r="H122" s="127">
        <v>0</v>
      </c>
      <c r="I122" s="127">
        <v>0</v>
      </c>
      <c r="J122" s="127">
        <v>0</v>
      </c>
      <c r="K122" s="127">
        <v>0</v>
      </c>
      <c r="L122" s="127">
        <v>0</v>
      </c>
      <c r="M122" s="127">
        <v>0</v>
      </c>
    </row>
    <row r="123" spans="1:21" ht="17">
      <c r="A123" s="98" t="s">
        <v>428</v>
      </c>
      <c r="B123" s="126">
        <v>-30504</v>
      </c>
      <c r="C123" s="126">
        <v>-9454</v>
      </c>
      <c r="D123" s="126">
        <v>-4602</v>
      </c>
      <c r="E123" s="126">
        <v>18028</v>
      </c>
      <c r="F123" s="127">
        <v>0</v>
      </c>
      <c r="G123" s="127">
        <v>0</v>
      </c>
      <c r="H123" s="127">
        <v>0</v>
      </c>
      <c r="I123" s="127">
        <v>0</v>
      </c>
      <c r="J123" s="127">
        <v>0</v>
      </c>
      <c r="K123" s="127">
        <v>0</v>
      </c>
      <c r="L123" s="127">
        <v>0</v>
      </c>
      <c r="M123" s="127">
        <v>0</v>
      </c>
    </row>
    <row r="124" spans="1:21" ht="17">
      <c r="A124" s="98" t="s">
        <v>429</v>
      </c>
      <c r="B124" s="126">
        <v>4368</v>
      </c>
      <c r="C124" s="126">
        <v>-840189</v>
      </c>
      <c r="D124" s="126">
        <v>0</v>
      </c>
      <c r="E124" s="126">
        <v>-265288</v>
      </c>
      <c r="F124" s="127">
        <f>-'CapEx Readjustments'!F4</f>
        <v>-374283.11803637375</v>
      </c>
      <c r="G124" s="127">
        <f>-'CapEx Readjustments'!G4</f>
        <v>-409049.64041248633</v>
      </c>
      <c r="H124" s="127">
        <f>-'CapEx Readjustments'!H4</f>
        <v>-443387.96732972463</v>
      </c>
      <c r="I124" s="127">
        <f>-'CapEx Readjustments'!I4</f>
        <v>-476233.2034091535</v>
      </c>
      <c r="J124" s="127">
        <f>-'CapEx Readjustments'!J4</f>
        <v>-507315.90434701066</v>
      </c>
      <c r="K124" s="127">
        <f>-'CapEx Readjustments'!K4</f>
        <v>-539982.59196300874</v>
      </c>
      <c r="L124" s="127">
        <f>-'CapEx Readjustments'!L4</f>
        <v>-569432.22825185454</v>
      </c>
      <c r="M124" s="127">
        <f>-'CapEx Readjustments'!M4</f>
        <v>-599907.12888409058</v>
      </c>
    </row>
    <row r="125" spans="1:21" ht="17">
      <c r="A125" s="98" t="s">
        <v>430</v>
      </c>
      <c r="B125" s="126">
        <v>-29840</v>
      </c>
      <c r="C125" s="126">
        <v>-42208</v>
      </c>
      <c r="D125" s="126">
        <v>-51900</v>
      </c>
      <c r="E125" s="126">
        <v>-811476</v>
      </c>
      <c r="F125" s="127">
        <v>0</v>
      </c>
      <c r="G125" s="127">
        <v>0</v>
      </c>
      <c r="H125" s="127">
        <v>0</v>
      </c>
      <c r="I125" s="127">
        <v>0</v>
      </c>
      <c r="J125" s="127">
        <v>0</v>
      </c>
      <c r="K125" s="127">
        <v>0</v>
      </c>
      <c r="L125" s="127">
        <v>0</v>
      </c>
      <c r="M125" s="127">
        <v>0</v>
      </c>
    </row>
    <row r="126" spans="1:21" ht="17">
      <c r="A126" s="98" t="s">
        <v>431</v>
      </c>
      <c r="B126" s="126">
        <v>-11933</v>
      </c>
      <c r="C126" s="126">
        <v>-24597</v>
      </c>
      <c r="D126" s="126">
        <v>-79082</v>
      </c>
      <c r="E126" s="126">
        <v>-5759</v>
      </c>
      <c r="F126" s="127">
        <v>0</v>
      </c>
      <c r="G126" s="127">
        <v>0</v>
      </c>
      <c r="H126" s="127">
        <v>0</v>
      </c>
      <c r="I126" s="127">
        <v>0</v>
      </c>
      <c r="J126" s="127">
        <v>0</v>
      </c>
      <c r="K126" s="127">
        <v>0</v>
      </c>
      <c r="L126" s="127">
        <v>0</v>
      </c>
      <c r="M126" s="127">
        <v>0</v>
      </c>
    </row>
    <row r="127" spans="1:21" ht="17">
      <c r="A127" s="98" t="s">
        <v>146</v>
      </c>
      <c r="B127" s="126"/>
      <c r="C127" s="126"/>
      <c r="D127" s="126"/>
      <c r="E127" s="126"/>
      <c r="F127" s="127">
        <f>-'CapEx Readjustments'!F10</f>
        <v>-43058.99326951187</v>
      </c>
      <c r="G127" s="127">
        <f>-'CapEx Readjustments'!G10</f>
        <v>-47058.669933667159</v>
      </c>
      <c r="H127" s="127">
        <f>-'CapEx Readjustments'!H10</f>
        <v>-51009.085318076701</v>
      </c>
      <c r="I127" s="127">
        <f>-'CapEx Readjustments'!I10</f>
        <v>-54787.729694824178</v>
      </c>
      <c r="J127" s="127">
        <f>-'CapEx Readjustments'!J10</f>
        <v>-58363.605137732549</v>
      </c>
      <c r="K127" s="127">
        <f>-'CapEx Readjustments'!K10</f>
        <v>-62121.708601158898</v>
      </c>
      <c r="L127" s="127">
        <f>-'CapEx Readjustments'!L10</f>
        <v>-65509.709901895483</v>
      </c>
      <c r="M127" s="127">
        <f>-'CapEx Readjustments'!M10</f>
        <v>-69015.661621270046</v>
      </c>
    </row>
    <row r="128" spans="1:21" s="6" customFormat="1" ht="17">
      <c r="A128" s="103" t="s">
        <v>432</v>
      </c>
      <c r="B128" s="124">
        <f>B119+SUM(B121:B126)</f>
        <v>-144990</v>
      </c>
      <c r="C128" s="124">
        <f>C119+SUM(C121:C126)</f>
        <v>-1047563</v>
      </c>
      <c r="D128" s="124">
        <f t="shared" ref="D128:E128" si="138">D119+SUM(D121:D126)</f>
        <v>-286648</v>
      </c>
      <c r="E128" s="124">
        <f t="shared" si="138"/>
        <v>-1240553</v>
      </c>
      <c r="F128" s="125">
        <f>F119+SUM(F121:F127)</f>
        <v>-616181.02468100446</v>
      </c>
      <c r="G128" s="125">
        <f t="shared" ref="G128:M128" si="139">G119+SUM(G121:G127)</f>
        <v>-673417.03226451029</v>
      </c>
      <c r="H128" s="125">
        <f t="shared" si="139"/>
        <v>-729948.10311991279</v>
      </c>
      <c r="I128" s="125">
        <f t="shared" si="139"/>
        <v>-784021.10360545735</v>
      </c>
      <c r="J128" s="125">
        <f t="shared" si="139"/>
        <v>-835192.44847995625</v>
      </c>
      <c r="K128" s="125">
        <f t="shared" si="139"/>
        <v>-888971.50523720984</v>
      </c>
      <c r="L128" s="125">
        <f t="shared" si="139"/>
        <v>-937454.34133237228</v>
      </c>
      <c r="M128" s="125">
        <f t="shared" si="139"/>
        <v>-987625.06663021515</v>
      </c>
      <c r="N128" s="19"/>
      <c r="O128" s="19"/>
      <c r="P128" s="19"/>
      <c r="Q128" s="19"/>
      <c r="R128" s="19"/>
      <c r="S128" s="19"/>
      <c r="T128" s="19"/>
      <c r="U128" s="19"/>
    </row>
    <row r="129" spans="1:21" ht="17">
      <c r="A129" s="110" t="s">
        <v>433</v>
      </c>
      <c r="B129" s="114"/>
      <c r="C129" s="117"/>
      <c r="D129" s="114"/>
      <c r="E129" s="114"/>
      <c r="F129" s="115"/>
      <c r="G129" s="115"/>
      <c r="H129" s="115"/>
      <c r="I129" s="115"/>
      <c r="J129" s="115"/>
      <c r="K129" s="115"/>
      <c r="L129" s="115"/>
      <c r="M129" s="115"/>
    </row>
    <row r="130" spans="1:21" ht="17">
      <c r="A130" s="98" t="s">
        <v>418</v>
      </c>
      <c r="B130" s="126"/>
      <c r="C130" s="126"/>
      <c r="D130" s="126"/>
      <c r="E130" s="126">
        <v>1377091</v>
      </c>
      <c r="F130" s="127">
        <v>0</v>
      </c>
      <c r="G130" s="127">
        <v>0</v>
      </c>
      <c r="H130" s="127">
        <v>0</v>
      </c>
      <c r="I130" s="127">
        <v>0</v>
      </c>
      <c r="J130" s="127">
        <v>0</v>
      </c>
      <c r="K130" s="127">
        <v>0</v>
      </c>
      <c r="L130" s="127">
        <v>0</v>
      </c>
      <c r="M130" s="127">
        <v>0</v>
      </c>
    </row>
    <row r="131" spans="1:21" ht="17">
      <c r="A131" s="98" t="s">
        <v>128</v>
      </c>
      <c r="B131" s="126">
        <v>0</v>
      </c>
      <c r="C131" s="126">
        <v>0</v>
      </c>
      <c r="D131" s="126">
        <v>-108392</v>
      </c>
      <c r="E131" s="126">
        <v>-357</v>
      </c>
      <c r="F131" s="127">
        <v>0</v>
      </c>
      <c r="G131" s="127">
        <v>0</v>
      </c>
      <c r="H131" s="127">
        <v>0</v>
      </c>
      <c r="I131" s="127">
        <v>0</v>
      </c>
      <c r="J131" s="127">
        <v>0</v>
      </c>
      <c r="K131" s="127">
        <v>0</v>
      </c>
      <c r="L131" s="127">
        <v>0</v>
      </c>
      <c r="M131" s="127">
        <v>0</v>
      </c>
    </row>
    <row r="132" spans="1:21" ht="17">
      <c r="A132" s="98" t="s">
        <v>419</v>
      </c>
      <c r="B132" s="126">
        <v>-20482</v>
      </c>
      <c r="C132" s="126">
        <v>-132005</v>
      </c>
      <c r="D132" s="126">
        <v>-181323</v>
      </c>
      <c r="E132" s="126">
        <v>-192519</v>
      </c>
      <c r="F132" s="127">
        <f t="shared" ref="F132:M132" si="140">-F144*F31</f>
        <v>-182807.68473880328</v>
      </c>
      <c r="G132" s="128">
        <f t="shared" si="140"/>
        <v>-199788.37971468328</v>
      </c>
      <c r="H132" s="128">
        <f t="shared" si="140"/>
        <v>-216559.93509360999</v>
      </c>
      <c r="I132" s="128">
        <f t="shared" si="140"/>
        <v>-232602.23375212529</v>
      </c>
      <c r="J132" s="128">
        <f t="shared" si="140"/>
        <v>-247783.67346997568</v>
      </c>
      <c r="K132" s="128">
        <f t="shared" si="140"/>
        <v>-263738.76533331198</v>
      </c>
      <c r="L132" s="128">
        <f t="shared" si="140"/>
        <v>-278122.58220062935</v>
      </c>
      <c r="M132" s="128">
        <f t="shared" si="140"/>
        <v>-293007.15956669347</v>
      </c>
    </row>
    <row r="133" spans="1:21" ht="17">
      <c r="A133" s="98" t="s">
        <v>420</v>
      </c>
      <c r="B133" s="126">
        <v>286908</v>
      </c>
      <c r="C133" s="126">
        <v>993102</v>
      </c>
      <c r="D133" s="126">
        <v>429780</v>
      </c>
      <c r="E133" s="126">
        <v>658572</v>
      </c>
      <c r="F133" s="127">
        <v>0</v>
      </c>
      <c r="G133" s="127">
        <v>0</v>
      </c>
      <c r="H133" s="127">
        <v>0</v>
      </c>
      <c r="I133" s="127">
        <v>0</v>
      </c>
      <c r="J133" s="127">
        <v>0</v>
      </c>
      <c r="K133" s="127">
        <v>0</v>
      </c>
      <c r="L133" s="127">
        <v>0</v>
      </c>
      <c r="M133" s="127">
        <v>0</v>
      </c>
    </row>
    <row r="134" spans="1:21" ht="17">
      <c r="A134" s="98" t="s">
        <v>421</v>
      </c>
      <c r="B134" s="126">
        <v>-577357</v>
      </c>
      <c r="C134" s="126">
        <v>-164421</v>
      </c>
      <c r="D134" s="126">
        <v>-175307</v>
      </c>
      <c r="E134" s="126">
        <v>-1224867</v>
      </c>
      <c r="F134" s="127">
        <v>0</v>
      </c>
      <c r="G134" s="127">
        <v>0</v>
      </c>
      <c r="H134" s="127">
        <v>0</v>
      </c>
      <c r="I134" s="127">
        <v>0</v>
      </c>
      <c r="J134" s="127">
        <v>0</v>
      </c>
      <c r="K134" s="127">
        <v>0</v>
      </c>
      <c r="L134" s="127">
        <v>0</v>
      </c>
      <c r="M134" s="127">
        <v>0</v>
      </c>
    </row>
    <row r="135" spans="1:21" ht="17">
      <c r="A135" s="98" t="s">
        <v>404</v>
      </c>
      <c r="B135" s="126">
        <v>-31319</v>
      </c>
      <c r="C135" s="126">
        <v>-52140</v>
      </c>
      <c r="D135" s="126">
        <v>-62767</v>
      </c>
      <c r="E135" s="126">
        <v>-79571</v>
      </c>
      <c r="F135" s="127">
        <f>-F96</f>
        <v>-75921</v>
      </c>
      <c r="G135" s="127">
        <f t="shared" ref="G135:M135" si="141">-G96</f>
        <v>-60132.511463366529</v>
      </c>
      <c r="H135" s="127">
        <f t="shared" si="141"/>
        <v>-47627.388138879985</v>
      </c>
      <c r="I135" s="127">
        <f t="shared" si="141"/>
        <v>-37722.823240360478</v>
      </c>
      <c r="J135" s="127">
        <f t="shared" si="141"/>
        <v>-29878.006097542522</v>
      </c>
      <c r="K135" s="127">
        <f t="shared" si="141"/>
        <v>-23664.592723528545</v>
      </c>
      <c r="L135" s="127">
        <f t="shared" si="141"/>
        <v>-18743.317306456454</v>
      </c>
      <c r="M135" s="127">
        <f t="shared" si="141"/>
        <v>-14845.467562229276</v>
      </c>
    </row>
    <row r="136" spans="1:21" s="6" customFormat="1" ht="17">
      <c r="A136" s="103" t="s">
        <v>422</v>
      </c>
      <c r="B136" s="124">
        <f>SUM(B131:B135)</f>
        <v>-342250</v>
      </c>
      <c r="C136" s="124">
        <f>SUM(C131:C135)</f>
        <v>644536</v>
      </c>
      <c r="D136" s="124">
        <f>SUM(D131:D135)</f>
        <v>-98009</v>
      </c>
      <c r="E136" s="124">
        <f>SUM(E130:E135)</f>
        <v>538349</v>
      </c>
      <c r="F136" s="125">
        <f>SUM(F130:F135)</f>
        <v>-258728.68473880328</v>
      </c>
      <c r="G136" s="125">
        <f t="shared" ref="G136:M136" si="142">SUM(G130:G135)</f>
        <v>-259920.89117804982</v>
      </c>
      <c r="H136" s="125">
        <f t="shared" si="142"/>
        <v>-264187.32323248999</v>
      </c>
      <c r="I136" s="125">
        <f t="shared" si="142"/>
        <v>-270325.05699248577</v>
      </c>
      <c r="J136" s="125">
        <f t="shared" si="142"/>
        <v>-277661.67956751818</v>
      </c>
      <c r="K136" s="125">
        <f t="shared" si="142"/>
        <v>-287403.35805684055</v>
      </c>
      <c r="L136" s="125">
        <f t="shared" si="142"/>
        <v>-296865.89950708579</v>
      </c>
      <c r="M136" s="125">
        <f t="shared" si="142"/>
        <v>-307852.62712892273</v>
      </c>
      <c r="N136" s="19"/>
      <c r="O136" s="19"/>
      <c r="P136" s="19"/>
      <c r="Q136" s="19"/>
      <c r="R136" s="19"/>
      <c r="S136" s="19"/>
      <c r="T136" s="19"/>
      <c r="U136" s="19"/>
    </row>
    <row r="137" spans="1:21" ht="17">
      <c r="A137" s="98" t="s">
        <v>423</v>
      </c>
      <c r="B137" s="126">
        <v>-888</v>
      </c>
      <c r="C137" s="126">
        <v>684</v>
      </c>
      <c r="D137" s="126">
        <v>-28966</v>
      </c>
      <c r="E137" s="126">
        <v>-7743</v>
      </c>
      <c r="F137" s="127">
        <v>0</v>
      </c>
      <c r="G137" s="128">
        <v>0</v>
      </c>
      <c r="H137" s="128">
        <v>0</v>
      </c>
      <c r="I137" s="128">
        <v>0</v>
      </c>
      <c r="J137" s="128">
        <v>0</v>
      </c>
      <c r="K137" s="128">
        <v>0</v>
      </c>
      <c r="L137" s="128">
        <v>0</v>
      </c>
      <c r="M137" s="128">
        <v>0</v>
      </c>
    </row>
    <row r="138" spans="1:21" s="6" customFormat="1" ht="17">
      <c r="A138" s="103" t="s">
        <v>424</v>
      </c>
      <c r="B138" s="124">
        <f>B137+B136+B128+B117</f>
        <v>22896</v>
      </c>
      <c r="C138" s="124">
        <f>C137+C136+C128+C117</f>
        <v>17391</v>
      </c>
      <c r="D138" s="124">
        <f>D137+D136+D128+D117</f>
        <v>142851</v>
      </c>
      <c r="E138" s="124">
        <f>E137+E136+E128+E117</f>
        <v>29745</v>
      </c>
      <c r="F138" s="125">
        <f>F137+F136+F128+F117</f>
        <v>68892.3964571174</v>
      </c>
      <c r="G138" s="125">
        <f t="shared" ref="G138:M138" si="143">G137+G136+G128+G117</f>
        <v>32302.206958107883</v>
      </c>
      <c r="H138" s="125">
        <f t="shared" si="143"/>
        <v>45757.772047261125</v>
      </c>
      <c r="I138" s="125">
        <f t="shared" si="143"/>
        <v>57747.715645578224</v>
      </c>
      <c r="J138" s="125">
        <f t="shared" si="143"/>
        <v>69184.783659631852</v>
      </c>
      <c r="K138" s="125">
        <f t="shared" si="143"/>
        <v>81851.299007312395</v>
      </c>
      <c r="L138" s="125">
        <f t="shared" si="143"/>
        <v>91316.919404876186</v>
      </c>
      <c r="M138" s="125">
        <f t="shared" si="143"/>
        <v>103211.7428199735</v>
      </c>
      <c r="N138" s="19"/>
      <c r="O138" s="19"/>
      <c r="P138" s="19"/>
      <c r="Q138" s="19"/>
      <c r="R138" s="19"/>
      <c r="S138" s="19"/>
      <c r="T138" s="19"/>
      <c r="U138" s="19"/>
    </row>
    <row r="139" spans="1:21" ht="17">
      <c r="A139" s="98" t="s">
        <v>425</v>
      </c>
      <c r="B139" s="126">
        <v>669763</v>
      </c>
      <c r="C139" s="126">
        <f>B49</f>
        <v>692659</v>
      </c>
      <c r="D139" s="126">
        <f>C49</f>
        <v>710050</v>
      </c>
      <c r="E139" s="126">
        <f>D49</f>
        <v>852901</v>
      </c>
      <c r="F139" s="127">
        <f>E49</f>
        <v>882646</v>
      </c>
      <c r="G139" s="127">
        <f t="shared" ref="G139:M139" si="144">F49</f>
        <v>951538.3964571174</v>
      </c>
      <c r="H139" s="127">
        <f t="shared" si="144"/>
        <v>983840.60341522528</v>
      </c>
      <c r="I139" s="127">
        <f t="shared" si="144"/>
        <v>1029598.3754624864</v>
      </c>
      <c r="J139" s="127">
        <f t="shared" si="144"/>
        <v>1087346.0911080646</v>
      </c>
      <c r="K139" s="127">
        <f t="shared" si="144"/>
        <v>1156530.8747676965</v>
      </c>
      <c r="L139" s="127">
        <f t="shared" si="144"/>
        <v>1238382.1737750089</v>
      </c>
      <c r="M139" s="127">
        <f t="shared" si="144"/>
        <v>1329699.0931798851</v>
      </c>
    </row>
    <row r="140" spans="1:21" s="6" customFormat="1" ht="17">
      <c r="A140" s="103" t="s">
        <v>19</v>
      </c>
      <c r="B140" s="124">
        <f>B139+B138</f>
        <v>692659</v>
      </c>
      <c r="C140" s="124">
        <f>C139+C138</f>
        <v>710050</v>
      </c>
      <c r="D140" s="124">
        <f>D139+D138</f>
        <v>852901</v>
      </c>
      <c r="E140" s="124">
        <f>E139+E138</f>
        <v>882646</v>
      </c>
      <c r="F140" s="125">
        <f>F139+F138</f>
        <v>951538.3964571174</v>
      </c>
      <c r="G140" s="125">
        <f t="shared" ref="G140:M140" si="145">G139+G138</f>
        <v>983840.60341522528</v>
      </c>
      <c r="H140" s="125">
        <f t="shared" si="145"/>
        <v>1029598.3754624864</v>
      </c>
      <c r="I140" s="125">
        <f t="shared" si="145"/>
        <v>1087346.0911080646</v>
      </c>
      <c r="J140" s="125">
        <f t="shared" si="145"/>
        <v>1156530.8747676965</v>
      </c>
      <c r="K140" s="125">
        <f t="shared" si="145"/>
        <v>1238382.1737750089</v>
      </c>
      <c r="L140" s="125">
        <f t="shared" si="145"/>
        <v>1329699.0931798851</v>
      </c>
      <c r="M140" s="125">
        <f t="shared" si="145"/>
        <v>1432910.8359998586</v>
      </c>
      <c r="N140" s="19"/>
      <c r="O140" s="19"/>
      <c r="P140" s="19"/>
      <c r="Q140" s="19"/>
      <c r="R140" s="19"/>
      <c r="S140" s="19"/>
      <c r="T140" s="19"/>
      <c r="U140" s="19"/>
    </row>
    <row r="141" spans="1:21" s="91" customFormat="1">
      <c r="A141" s="87"/>
      <c r="B141" s="88"/>
      <c r="C141" s="88"/>
      <c r="D141" s="88"/>
      <c r="E141" s="88"/>
      <c r="F141" s="89"/>
      <c r="G141" s="89"/>
      <c r="H141" s="89"/>
      <c r="I141" s="89"/>
      <c r="J141" s="89"/>
      <c r="K141" s="89"/>
      <c r="L141" s="89"/>
      <c r="M141" s="89"/>
      <c r="N141" s="90"/>
      <c r="O141" s="90"/>
      <c r="P141" s="90"/>
      <c r="Q141" s="90"/>
      <c r="R141" s="90"/>
      <c r="S141" s="90"/>
      <c r="T141" s="90"/>
      <c r="U141" s="90"/>
    </row>
    <row r="143" spans="1:21" ht="17">
      <c r="A143" s="98" t="s">
        <v>384</v>
      </c>
      <c r="B143" s="114"/>
      <c r="C143" s="114"/>
      <c r="D143" s="114"/>
      <c r="E143" s="114"/>
      <c r="F143" s="115"/>
      <c r="G143" s="81"/>
      <c r="H143" s="81"/>
      <c r="I143" s="81"/>
      <c r="J143" s="81"/>
      <c r="K143" s="81"/>
      <c r="L143" s="81"/>
      <c r="M143" s="81"/>
    </row>
    <row r="144" spans="1:21" ht="17">
      <c r="A144" s="98" t="s">
        <v>94</v>
      </c>
      <c r="B144" s="96">
        <f>-B132/B31</f>
        <v>9.2662380846818881E-2</v>
      </c>
      <c r="C144" s="96">
        <f>-C132/C31</f>
        <v>0.33043380309895115</v>
      </c>
      <c r="D144" s="96">
        <f>-D132/D31</f>
        <v>0.38976674999838784</v>
      </c>
      <c r="E144" s="96">
        <f>-E132/E31</f>
        <v>0.36279913841352757</v>
      </c>
      <c r="F144" s="102">
        <v>0.3</v>
      </c>
      <c r="G144" s="84">
        <v>0.3</v>
      </c>
      <c r="H144" s="84">
        <v>0.3</v>
      </c>
      <c r="I144" s="84">
        <v>0.3</v>
      </c>
      <c r="J144" s="84">
        <v>0.3</v>
      </c>
      <c r="K144" s="84">
        <v>0.3</v>
      </c>
      <c r="L144" s="84">
        <v>0.3</v>
      </c>
      <c r="M144" s="84">
        <v>0.3</v>
      </c>
    </row>
    <row r="145" spans="1:13" ht="17">
      <c r="A145" s="98" t="s">
        <v>385</v>
      </c>
      <c r="B145" s="122">
        <f>B73-B72+B68</f>
        <v>4264114</v>
      </c>
      <c r="C145" s="122">
        <f t="shared" ref="C145:M145" si="146">C73-C72+C68</f>
        <v>6097479</v>
      </c>
      <c r="D145" s="122">
        <f t="shared" si="146"/>
        <v>6419773</v>
      </c>
      <c r="E145" s="122">
        <f t="shared" si="146"/>
        <v>7327063</v>
      </c>
      <c r="F145" s="121">
        <f t="shared" si="146"/>
        <v>7646931.6279242421</v>
      </c>
      <c r="G145" s="121">
        <f t="shared" si="146"/>
        <v>8109079.3930390961</v>
      </c>
      <c r="H145" s="121">
        <f t="shared" si="146"/>
        <v>8621362.8961069603</v>
      </c>
      <c r="I145" s="121">
        <f t="shared" si="146"/>
        <v>9178468.0554647427</v>
      </c>
      <c r="J145" s="121">
        <f t="shared" si="146"/>
        <v>9776085.5912960544</v>
      </c>
      <c r="K145" s="121">
        <f t="shared" si="146"/>
        <v>10418275.361503571</v>
      </c>
      <c r="L145" s="121">
        <f t="shared" si="146"/>
        <v>11094855.963637775</v>
      </c>
      <c r="M145" s="121">
        <f t="shared" si="146"/>
        <v>11810680.557292875</v>
      </c>
    </row>
    <row r="146" spans="1:13" ht="17">
      <c r="A146" s="98" t="s">
        <v>132</v>
      </c>
      <c r="B146" s="122">
        <f>B54+B55+B60</f>
        <v>1132093</v>
      </c>
      <c r="C146" s="122">
        <f t="shared" ref="C146:M146" si="147">C54+C55+C60</f>
        <v>992496</v>
      </c>
      <c r="D146" s="122">
        <f t="shared" si="147"/>
        <v>1231933</v>
      </c>
      <c r="E146" s="122">
        <f t="shared" si="147"/>
        <v>3740673</v>
      </c>
      <c r="F146" s="121">
        <f t="shared" si="147"/>
        <v>4275312.1951600527</v>
      </c>
      <c r="G146" s="121">
        <f t="shared" si="147"/>
        <v>4761521.7684022691</v>
      </c>
      <c r="H146" s="121">
        <f t="shared" si="147"/>
        <v>5285806.2144360691</v>
      </c>
      <c r="I146" s="121">
        <f t="shared" si="147"/>
        <v>5846556.8523459751</v>
      </c>
      <c r="J146" s="121">
        <f t="shared" si="147"/>
        <v>6441803.7019183701</v>
      </c>
      <c r="K146" s="121">
        <f t="shared" si="147"/>
        <v>7073765.9664330306</v>
      </c>
      <c r="L146" s="121">
        <f t="shared" si="147"/>
        <v>7738535.5185879339</v>
      </c>
      <c r="M146" s="121">
        <f t="shared" si="147"/>
        <v>8437587.4878946692</v>
      </c>
    </row>
    <row r="147" spans="1:13" ht="17">
      <c r="A147" s="98" t="s">
        <v>40</v>
      </c>
      <c r="B147" s="122">
        <f>B68+B64</f>
        <v>972593</v>
      </c>
      <c r="C147" s="122">
        <f t="shared" ref="C147:M147" si="148">C68+C64</f>
        <v>1839312</v>
      </c>
      <c r="D147" s="122">
        <f t="shared" si="148"/>
        <v>2147217</v>
      </c>
      <c r="E147" s="122">
        <f t="shared" si="148"/>
        <v>1657104</v>
      </c>
      <c r="F147" s="121">
        <f t="shared" si="148"/>
        <v>1442333.4327641893</v>
      </c>
      <c r="G147" s="121">
        <f t="shared" si="148"/>
        <v>1418271.624636828</v>
      </c>
      <c r="H147" s="121">
        <f t="shared" si="148"/>
        <v>1406270.6816708907</v>
      </c>
      <c r="I147" s="121">
        <f t="shared" si="148"/>
        <v>1402625.2031187683</v>
      </c>
      <c r="J147" s="121">
        <f t="shared" si="148"/>
        <v>1404995.8893776853</v>
      </c>
      <c r="K147" s="121">
        <f t="shared" si="148"/>
        <v>1415223.3950705407</v>
      </c>
      <c r="L147" s="121">
        <f t="shared" si="148"/>
        <v>1427034.4450498405</v>
      </c>
      <c r="M147" s="121">
        <f t="shared" si="148"/>
        <v>1443807.0693982043</v>
      </c>
    </row>
    <row r="148" spans="1:13" ht="17">
      <c r="A148" s="101" t="s">
        <v>386</v>
      </c>
      <c r="B148" s="122"/>
      <c r="C148" s="122">
        <f>(C145+B145)/2</f>
        <v>5180796.5</v>
      </c>
      <c r="D148" s="122">
        <f t="shared" ref="D148:M148" si="149">(D145+C145)/2</f>
        <v>6258626</v>
      </c>
      <c r="E148" s="122">
        <f t="shared" si="149"/>
        <v>6873418</v>
      </c>
      <c r="F148" s="121">
        <f t="shared" si="149"/>
        <v>7486997.3139621206</v>
      </c>
      <c r="G148" s="121">
        <f t="shared" si="149"/>
        <v>7878005.5104816686</v>
      </c>
      <c r="H148" s="121">
        <f t="shared" si="149"/>
        <v>8365221.1445730282</v>
      </c>
      <c r="I148" s="121">
        <f t="shared" si="149"/>
        <v>8899915.4757858515</v>
      </c>
      <c r="J148" s="121">
        <f t="shared" si="149"/>
        <v>9477276.8233803995</v>
      </c>
      <c r="K148" s="121">
        <f t="shared" si="149"/>
        <v>10097180.476399813</v>
      </c>
      <c r="L148" s="121">
        <f t="shared" si="149"/>
        <v>10756565.662570674</v>
      </c>
      <c r="M148" s="121">
        <f t="shared" si="149"/>
        <v>11452768.260465324</v>
      </c>
    </row>
    <row r="149" spans="1:13" ht="17">
      <c r="A149" s="101" t="s">
        <v>387</v>
      </c>
      <c r="B149" s="122"/>
      <c r="C149" s="122">
        <f t="shared" ref="C149:M149" si="150">(C146+B146)/2</f>
        <v>1062294.5</v>
      </c>
      <c r="D149" s="122">
        <f t="shared" si="150"/>
        <v>1112214.5</v>
      </c>
      <c r="E149" s="122">
        <f t="shared" si="150"/>
        <v>2486303</v>
      </c>
      <c r="F149" s="121">
        <f t="shared" si="150"/>
        <v>4007992.5975800264</v>
      </c>
      <c r="G149" s="121">
        <f t="shared" si="150"/>
        <v>4518416.9817811605</v>
      </c>
      <c r="H149" s="121">
        <f t="shared" si="150"/>
        <v>5023663.9914191691</v>
      </c>
      <c r="I149" s="121">
        <f t="shared" si="150"/>
        <v>5566181.5333910221</v>
      </c>
      <c r="J149" s="121">
        <f t="shared" si="150"/>
        <v>6144180.2771321721</v>
      </c>
      <c r="K149" s="121">
        <f t="shared" si="150"/>
        <v>6757784.8341757003</v>
      </c>
      <c r="L149" s="121">
        <f t="shared" si="150"/>
        <v>7406150.7425104827</v>
      </c>
      <c r="M149" s="121">
        <f t="shared" si="150"/>
        <v>8088061.5032413015</v>
      </c>
    </row>
    <row r="150" spans="1:13" ht="17">
      <c r="A150" s="101" t="s">
        <v>388</v>
      </c>
      <c r="B150" s="122"/>
      <c r="C150" s="122">
        <f t="shared" ref="C150:M150" si="151">(C147+B147)/2</f>
        <v>1405952.5</v>
      </c>
      <c r="D150" s="122">
        <f t="shared" si="151"/>
        <v>1993264.5</v>
      </c>
      <c r="E150" s="122">
        <f t="shared" si="151"/>
        <v>1902160.5</v>
      </c>
      <c r="F150" s="121">
        <f t="shared" si="151"/>
        <v>1549718.7163820947</v>
      </c>
      <c r="G150" s="121">
        <f t="shared" si="151"/>
        <v>1430302.5287005086</v>
      </c>
      <c r="H150" s="121">
        <f t="shared" si="151"/>
        <v>1412271.1531538593</v>
      </c>
      <c r="I150" s="121">
        <f t="shared" si="151"/>
        <v>1404447.9423948294</v>
      </c>
      <c r="J150" s="121">
        <f t="shared" si="151"/>
        <v>1403810.5462482269</v>
      </c>
      <c r="K150" s="121">
        <f t="shared" si="151"/>
        <v>1410109.642224113</v>
      </c>
      <c r="L150" s="121">
        <f t="shared" si="151"/>
        <v>1421128.9200601906</v>
      </c>
      <c r="M150" s="121">
        <f t="shared" si="151"/>
        <v>1435420.7572240224</v>
      </c>
    </row>
    <row r="151" spans="1:13" ht="17">
      <c r="A151" s="98" t="s">
        <v>377</v>
      </c>
      <c r="B151" s="122">
        <f>B21</f>
        <v>386529</v>
      </c>
      <c r="C151" s="122">
        <f t="shared" ref="C151:M151" si="152">C21</f>
        <v>492967</v>
      </c>
      <c r="D151" s="122">
        <f t="shared" si="152"/>
        <v>679206</v>
      </c>
      <c r="E151" s="122">
        <f t="shared" si="152"/>
        <v>612088</v>
      </c>
      <c r="F151" s="121">
        <f t="shared" si="152"/>
        <v>812478.59883912571</v>
      </c>
      <c r="G151" s="121">
        <f t="shared" si="152"/>
        <v>887948.35428748117</v>
      </c>
      <c r="H151" s="121">
        <f t="shared" si="152"/>
        <v>962488.60041604447</v>
      </c>
      <c r="I151" s="121">
        <f t="shared" si="152"/>
        <v>1033787.7055650013</v>
      </c>
      <c r="J151" s="121">
        <f t="shared" si="152"/>
        <v>1101260.7709776696</v>
      </c>
      <c r="K151" s="121">
        <f t="shared" si="152"/>
        <v>1172172.2903702755</v>
      </c>
      <c r="L151" s="121">
        <f t="shared" si="152"/>
        <v>1236100.3653361304</v>
      </c>
      <c r="M151" s="121">
        <f t="shared" si="152"/>
        <v>1302254.0425186378</v>
      </c>
    </row>
    <row r="153" spans="1:13" ht="17">
      <c r="A153" s="98" t="s">
        <v>389</v>
      </c>
      <c r="B153" s="114"/>
      <c r="C153" s="114"/>
      <c r="D153" s="114"/>
      <c r="E153" s="114"/>
      <c r="F153" s="115"/>
      <c r="G153" s="81"/>
      <c r="H153" s="81"/>
      <c r="I153" s="81"/>
      <c r="J153" s="81"/>
      <c r="K153" s="81"/>
      <c r="L153" s="81"/>
      <c r="M153" s="81"/>
    </row>
    <row r="154" spans="1:13" ht="17">
      <c r="A154" s="98" t="s">
        <v>150</v>
      </c>
      <c r="B154" s="126">
        <f>B31/B54*B156</f>
        <v>1314.7692124672853</v>
      </c>
      <c r="C154" s="126">
        <f t="shared" ref="C154:E154" si="153">C31/C54*C156</f>
        <v>87.072798605056661</v>
      </c>
      <c r="D154" s="126">
        <f t="shared" si="153"/>
        <v>80.765451388888891</v>
      </c>
      <c r="E154" s="126">
        <f t="shared" si="153"/>
        <v>103.23990848177806</v>
      </c>
      <c r="F154" s="128">
        <f>F33/F54*F156</f>
        <v>122.71333432533642</v>
      </c>
      <c r="G154" s="128">
        <f t="shared" ref="G154:M154" si="154">G33/G54*G156</f>
        <v>133.46367538986686</v>
      </c>
      <c r="H154" s="128">
        <f t="shared" si="154"/>
        <v>144.13426974673143</v>
      </c>
      <c r="I154" s="128">
        <f t="shared" si="154"/>
        <v>154.35000888373273</v>
      </c>
      <c r="J154" s="128">
        <f t="shared" si="154"/>
        <v>164.01499681755703</v>
      </c>
      <c r="K154" s="128">
        <f t="shared" si="154"/>
        <v>174.26225687514528</v>
      </c>
      <c r="L154" s="128">
        <f t="shared" si="154"/>
        <v>183.44347706120928</v>
      </c>
      <c r="M154" s="128">
        <f t="shared" si="154"/>
        <v>193.00911463774608</v>
      </c>
    </row>
    <row r="155" spans="1:13" ht="17">
      <c r="A155" s="98" t="s">
        <v>390</v>
      </c>
      <c r="B155" s="126">
        <f>(B31+B92+B94+B96)/B54*B156</f>
        <v>1948.3880561503688</v>
      </c>
      <c r="C155" s="126">
        <f t="shared" ref="C155:E155" si="155">(C31+C92+C94+C96)/C54*C156</f>
        <v>118.66673931996512</v>
      </c>
      <c r="D155" s="126">
        <f t="shared" si="155"/>
        <v>110.22795138888888</v>
      </c>
      <c r="E155" s="126">
        <f t="shared" si="155"/>
        <v>144.19256180981955</v>
      </c>
      <c r="F155" s="127">
        <f>(F33+F92+F94+F96)/F54*F156</f>
        <v>163.66598765337787</v>
      </c>
      <c r="G155" s="127">
        <f t="shared" ref="G155:M155" si="156">(G33+G92+G94+G96)/G54*G156</f>
        <v>176.94884877803926</v>
      </c>
      <c r="H155" s="127">
        <f t="shared" si="156"/>
        <v>190.49027736136651</v>
      </c>
      <c r="I155" s="127">
        <f t="shared" si="156"/>
        <v>203.85736192047764</v>
      </c>
      <c r="J155" s="127">
        <f t="shared" si="156"/>
        <v>216.87646876253649</v>
      </c>
      <c r="K155" s="127">
        <f t="shared" si="156"/>
        <v>230.61000508843344</v>
      </c>
      <c r="L155" s="127">
        <f t="shared" si="156"/>
        <v>243.44308342223053</v>
      </c>
      <c r="M155" s="127">
        <f t="shared" si="156"/>
        <v>256.71938565943947</v>
      </c>
    </row>
    <row r="156" spans="1:13" ht="17">
      <c r="A156" s="98" t="s">
        <v>391</v>
      </c>
      <c r="B156" s="126">
        <v>25</v>
      </c>
      <c r="C156" s="126">
        <v>25</v>
      </c>
      <c r="D156" s="126">
        <v>25</v>
      </c>
      <c r="E156" s="126">
        <v>25</v>
      </c>
      <c r="F156" s="127">
        <v>25</v>
      </c>
      <c r="G156" s="127">
        <v>25</v>
      </c>
      <c r="H156" s="127">
        <v>25</v>
      </c>
      <c r="I156" s="127">
        <v>25</v>
      </c>
      <c r="J156" s="127">
        <v>25</v>
      </c>
      <c r="K156" s="127">
        <v>25</v>
      </c>
      <c r="L156" s="127">
        <v>25</v>
      </c>
      <c r="M156" s="127">
        <v>25</v>
      </c>
    </row>
    <row r="157" spans="1:13">
      <c r="G157" s="22"/>
      <c r="H157" s="22"/>
      <c r="I157" s="22"/>
      <c r="J157" s="22"/>
      <c r="K157" s="22"/>
      <c r="L157" s="22"/>
      <c r="M157" s="22"/>
    </row>
    <row r="158" spans="1:13" ht="17">
      <c r="A158" s="98" t="s">
        <v>392</v>
      </c>
      <c r="B158" s="114"/>
      <c r="C158" s="114"/>
      <c r="D158" s="114"/>
      <c r="E158" s="114"/>
      <c r="F158" s="115"/>
      <c r="G158" s="115"/>
      <c r="H158" s="115"/>
      <c r="I158" s="115"/>
      <c r="J158" s="115"/>
      <c r="K158" s="115"/>
      <c r="L158" s="115"/>
      <c r="M158" s="115"/>
    </row>
    <row r="159" spans="1:13" ht="17">
      <c r="A159" s="98" t="s">
        <v>393</v>
      </c>
      <c r="B159" s="96">
        <f>B17/B2</f>
        <v>0.13600633188549996</v>
      </c>
      <c r="C159" s="96">
        <f t="shared" ref="C159:M159" si="157">C17/C2</f>
        <v>0.14821929366286854</v>
      </c>
      <c r="D159" s="96">
        <f t="shared" si="157"/>
        <v>0.16100353456393685</v>
      </c>
      <c r="E159" s="96">
        <f t="shared" si="157"/>
        <v>0.1584027154488756</v>
      </c>
      <c r="F159" s="118">
        <f t="shared" si="157"/>
        <v>0.16452103272513152</v>
      </c>
      <c r="G159" s="118">
        <f t="shared" si="157"/>
        <v>0.16452103272513155</v>
      </c>
      <c r="H159" s="118">
        <f t="shared" si="157"/>
        <v>0.16452103272513144</v>
      </c>
      <c r="I159" s="118">
        <f t="shared" si="157"/>
        <v>0.16452103272513155</v>
      </c>
      <c r="J159" s="118">
        <f t="shared" si="157"/>
        <v>0.16452103272513149</v>
      </c>
      <c r="K159" s="118">
        <f t="shared" si="157"/>
        <v>0.16452103272513138</v>
      </c>
      <c r="L159" s="118">
        <f t="shared" si="157"/>
        <v>0.16452103272513138</v>
      </c>
      <c r="M159" s="118">
        <f t="shared" si="157"/>
        <v>0.16452103272513136</v>
      </c>
    </row>
    <row r="160" spans="1:13" ht="17">
      <c r="A160" s="98" t="s">
        <v>394</v>
      </c>
      <c r="B160" s="96">
        <f>B31/B2</f>
        <v>8.5507920272710536E-2</v>
      </c>
      <c r="C160" s="96">
        <f t="shared" ref="C160:E160" si="158">C31/C2</f>
        <v>0.11036845753526008</v>
      </c>
      <c r="D160" s="96">
        <f t="shared" si="158"/>
        <v>0.10808591037267774</v>
      </c>
      <c r="E160" s="96">
        <f t="shared" si="158"/>
        <v>0.11078778373699497</v>
      </c>
      <c r="F160" s="118">
        <f>F33/F2</f>
        <v>0.12129246603639082</v>
      </c>
      <c r="G160" s="118">
        <f t="shared" ref="G160:M160" si="159">G33/G2</f>
        <v>0.12070614310283667</v>
      </c>
      <c r="H160" s="118">
        <f t="shared" si="159"/>
        <v>0.12026123432477893</v>
      </c>
      <c r="I160" s="118">
        <f t="shared" si="159"/>
        <v>0.1199027917896496</v>
      </c>
      <c r="J160" s="118">
        <f t="shared" si="159"/>
        <v>0.11960446427864324</v>
      </c>
      <c r="K160" s="118">
        <f t="shared" si="159"/>
        <v>0.1193894311779462</v>
      </c>
      <c r="L160" s="118">
        <f t="shared" si="159"/>
        <v>0.11917976869087142</v>
      </c>
      <c r="M160" s="118">
        <f t="shared" si="159"/>
        <v>0.11902442817332042</v>
      </c>
    </row>
    <row r="161" spans="1:13" ht="17">
      <c r="A161" s="98" t="s">
        <v>28</v>
      </c>
      <c r="B161" s="114"/>
      <c r="C161" s="96">
        <f>C151/C148</f>
        <v>9.5152743405381782E-2</v>
      </c>
      <c r="D161" s="96">
        <f t="shared" ref="D161:M161" si="160">D151/D148</f>
        <v>0.10852318064699824</v>
      </c>
      <c r="E161" s="96">
        <f t="shared" si="160"/>
        <v>8.9051473371763515E-2</v>
      </c>
      <c r="F161" s="82">
        <f>F151/F148</f>
        <v>0.10851861764715418</v>
      </c>
      <c r="G161" s="82">
        <f t="shared" si="160"/>
        <v>0.11271232967609224</v>
      </c>
      <c r="H161" s="82">
        <f t="shared" si="160"/>
        <v>0.11505835694976969</v>
      </c>
      <c r="I161" s="82">
        <f t="shared" si="160"/>
        <v>0.11615702512879418</v>
      </c>
      <c r="J161" s="82">
        <f t="shared" si="160"/>
        <v>0.11620012705135553</v>
      </c>
      <c r="K161" s="82">
        <f t="shared" si="160"/>
        <v>0.11608906992501514</v>
      </c>
      <c r="L161" s="82">
        <f t="shared" si="160"/>
        <v>0.11491589454405088</v>
      </c>
      <c r="M161" s="82">
        <f t="shared" si="160"/>
        <v>0.11370648675517053</v>
      </c>
    </row>
    <row r="162" spans="1:13" ht="17">
      <c r="A162" s="98" t="s">
        <v>27</v>
      </c>
      <c r="B162" s="114"/>
      <c r="C162" s="96">
        <f>C31/C149</f>
        <v>0.37606332330629594</v>
      </c>
      <c r="D162" s="96">
        <f t="shared" ref="D162:E162" si="161">D31/D149</f>
        <v>0.4182727342612419</v>
      </c>
      <c r="E162" s="96">
        <f t="shared" si="161"/>
        <v>0.21342893444604297</v>
      </c>
      <c r="F162" s="82">
        <f>F33/F149</f>
        <v>0.15737095679260729</v>
      </c>
      <c r="G162" s="82">
        <f t="shared" ref="G162:M162" si="162">G33/G149</f>
        <v>0.15182263074057403</v>
      </c>
      <c r="H162" s="82">
        <f t="shared" si="162"/>
        <v>0.14747092607961693</v>
      </c>
      <c r="I162" s="82">
        <f t="shared" si="162"/>
        <v>0.14253090146319849</v>
      </c>
      <c r="J162" s="82">
        <f t="shared" si="162"/>
        <v>0.13720797323933004</v>
      </c>
      <c r="K162" s="82">
        <f t="shared" si="162"/>
        <v>0.13254358518759016</v>
      </c>
      <c r="L162" s="82">
        <f t="shared" si="162"/>
        <v>0.12731203659458848</v>
      </c>
      <c r="M162" s="82">
        <f t="shared" si="162"/>
        <v>0.1226572187261262</v>
      </c>
    </row>
    <row r="163" spans="1:13" ht="17">
      <c r="A163" s="98" t="s">
        <v>395</v>
      </c>
      <c r="B163" s="114"/>
      <c r="C163" s="96">
        <f>C151/C51</f>
        <v>6.9284503181397561E-2</v>
      </c>
      <c r="D163" s="96">
        <f t="shared" ref="D163:M163" si="163">D151/D51</f>
        <v>8.8079449243757976E-2</v>
      </c>
      <c r="E163" s="96">
        <f t="shared" si="163"/>
        <v>7.1146550120885249E-2</v>
      </c>
      <c r="F163" s="82">
        <f t="shared" si="163"/>
        <v>8.873483987993204E-2</v>
      </c>
      <c r="G163" s="82">
        <f t="shared" si="163"/>
        <v>9.0991380955725051E-2</v>
      </c>
      <c r="H163" s="82">
        <f t="shared" si="163"/>
        <v>9.2463820874520833E-2</v>
      </c>
      <c r="I163" s="82">
        <f t="shared" si="163"/>
        <v>9.3143180491365316E-2</v>
      </c>
      <c r="J163" s="82">
        <f t="shared" si="163"/>
        <v>9.3154534168050529E-2</v>
      </c>
      <c r="K163" s="82">
        <f t="shared" si="163"/>
        <v>9.3060640448493687E-2</v>
      </c>
      <c r="L163" s="82">
        <f t="shared" si="163"/>
        <v>9.230741011806412E-2</v>
      </c>
      <c r="M163" s="82">
        <f t="shared" si="163"/>
        <v>9.151568820283687E-2</v>
      </c>
    </row>
    <row r="165" spans="1:13">
      <c r="M165" s="142" t="s">
        <v>412</v>
      </c>
    </row>
    <row r="166" spans="1:13">
      <c r="M166" s="109" t="s">
        <v>413</v>
      </c>
    </row>
    <row r="167" spans="1:13">
      <c r="M167" s="143" t="s">
        <v>414</v>
      </c>
    </row>
    <row r="169" spans="1:13">
      <c r="M169" s="6" t="s">
        <v>453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BC32-DA75-8E49-BA80-9D5DDF43E3AD}">
  <dimension ref="A1:M20"/>
  <sheetViews>
    <sheetView zoomScale="108" workbookViewId="0">
      <selection activeCell="M20" sqref="M20"/>
    </sheetView>
  </sheetViews>
  <sheetFormatPr baseColWidth="10" defaultRowHeight="16"/>
  <cols>
    <col min="1" max="1" width="25" bestFit="1" customWidth="1"/>
    <col min="6" max="6" width="13" bestFit="1" customWidth="1"/>
    <col min="7" max="7" width="13" customWidth="1"/>
    <col min="8" max="8" width="14" customWidth="1"/>
    <col min="9" max="9" width="15.5" customWidth="1"/>
    <col min="10" max="10" width="13.83203125" customWidth="1"/>
    <col min="11" max="11" width="15" customWidth="1"/>
    <col min="12" max="12" width="15.1640625" customWidth="1"/>
    <col min="13" max="13" width="22.6640625" bestFit="1" customWidth="1"/>
  </cols>
  <sheetData>
    <row r="1" spans="1:13">
      <c r="C1" s="92" t="s">
        <v>84</v>
      </c>
      <c r="E1" s="93">
        <v>4</v>
      </c>
    </row>
    <row r="2" spans="1:13">
      <c r="A2" s="60"/>
      <c r="B2" s="60">
        <v>2021</v>
      </c>
      <c r="C2" s="60">
        <v>2022</v>
      </c>
      <c r="D2" s="60">
        <v>2023</v>
      </c>
      <c r="E2" s="60">
        <v>2024</v>
      </c>
      <c r="F2" s="60">
        <v>2025</v>
      </c>
      <c r="G2" s="60">
        <v>2026</v>
      </c>
      <c r="H2" s="60">
        <v>2027</v>
      </c>
      <c r="I2" s="60">
        <v>2028</v>
      </c>
      <c r="J2" s="60">
        <v>2029</v>
      </c>
      <c r="K2" s="60">
        <v>2030</v>
      </c>
      <c r="L2" s="60">
        <v>2031</v>
      </c>
      <c r="M2" s="60">
        <v>2032</v>
      </c>
    </row>
    <row r="3" spans="1:13">
      <c r="A3" s="60" t="s">
        <v>86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>
      <c r="A4" s="60" t="s">
        <v>87</v>
      </c>
      <c r="B4" s="122">
        <f>-'Financial Statements'!B124</f>
        <v>-4368</v>
      </c>
      <c r="C4" s="122">
        <f>-'Financial Statements'!C124</f>
        <v>840189</v>
      </c>
      <c r="D4" s="122">
        <f>-'Financial Statements'!D124</f>
        <v>0</v>
      </c>
      <c r="E4" s="122">
        <f>-'Financial Statements'!E124</f>
        <v>265288</v>
      </c>
      <c r="F4" s="121">
        <f>F5*'Revenue Prediction'!F2</f>
        <v>374283.11803637375</v>
      </c>
      <c r="G4" s="121">
        <f>G5*'Revenue Prediction'!G2</f>
        <v>409049.64041248633</v>
      </c>
      <c r="H4" s="121">
        <f>H5*'Revenue Prediction'!H2</f>
        <v>443387.96732972463</v>
      </c>
      <c r="I4" s="121">
        <f>I5*'Revenue Prediction'!I2</f>
        <v>476233.2034091535</v>
      </c>
      <c r="J4" s="121">
        <f>J5*'Revenue Prediction'!J2</f>
        <v>507315.90434701066</v>
      </c>
      <c r="K4" s="121">
        <f>K5*'Revenue Prediction'!K2</f>
        <v>539982.59196300874</v>
      </c>
      <c r="L4" s="121">
        <f>L5*'Revenue Prediction'!L2</f>
        <v>569432.22825185454</v>
      </c>
      <c r="M4" s="121">
        <f>M5*'Revenue Prediction'!M2</f>
        <v>599907.12888409058</v>
      </c>
    </row>
    <row r="5" spans="1:13">
      <c r="A5" s="95" t="s">
        <v>77</v>
      </c>
      <c r="B5" s="96">
        <f>B4/'Financial Statements'!B2</f>
        <v>-1.6897407052655848E-3</v>
      </c>
      <c r="C5" s="96">
        <f>C4/'Financial Statements'!C2</f>
        <v>0.23212186529848716</v>
      </c>
      <c r="D5" s="96">
        <f>D4/'Financial Statements'!D2</f>
        <v>0</v>
      </c>
      <c r="E5" s="96">
        <f>E4/'Financial Statements'!E2</f>
        <v>5.5386271475155742E-2</v>
      </c>
      <c r="F5" s="86">
        <f>AVERAGE(B4:E4)/AVERAGE('Revenue Prediction'!B2:E2)</f>
        <v>7.1975148349889578E-2</v>
      </c>
      <c r="G5" s="86">
        <f>F5</f>
        <v>7.1975148349889578E-2</v>
      </c>
      <c r="H5" s="86">
        <f t="shared" ref="H5:M5" si="0">G5</f>
        <v>7.1975148349889578E-2</v>
      </c>
      <c r="I5" s="86">
        <f t="shared" si="0"/>
        <v>7.1975148349889578E-2</v>
      </c>
      <c r="J5" s="86">
        <f t="shared" si="0"/>
        <v>7.1975148349889578E-2</v>
      </c>
      <c r="K5" s="86">
        <f t="shared" si="0"/>
        <v>7.1975148349889578E-2</v>
      </c>
      <c r="L5" s="86">
        <f t="shared" si="0"/>
        <v>7.1975148349889578E-2</v>
      </c>
      <c r="M5" s="86">
        <f t="shared" si="0"/>
        <v>7.1975148349889578E-2</v>
      </c>
    </row>
    <row r="6" spans="1:13">
      <c r="A6" s="60" t="s">
        <v>92</v>
      </c>
      <c r="B6" s="97">
        <f>'Financial Statements'!B94</f>
        <v>19567</v>
      </c>
      <c r="C6" s="97">
        <f>'Financial Statements'!C94</f>
        <v>26966</v>
      </c>
      <c r="D6" s="97">
        <f>'Financial Statements'!D94</f>
        <v>32903</v>
      </c>
      <c r="E6" s="97">
        <f>'Financial Statements'!E94</f>
        <v>41154</v>
      </c>
      <c r="F6" s="81">
        <f>F4*F7</f>
        <v>3244.924436517364</v>
      </c>
      <c r="G6" s="81">
        <f t="shared" ref="G6:M6" si="1">G4*G7</f>
        <v>3546.3399495195076</v>
      </c>
      <c r="H6" s="81">
        <f t="shared" si="1"/>
        <v>3844.0431339630013</v>
      </c>
      <c r="I6" s="81">
        <f t="shared" si="1"/>
        <v>4128.8016604401773</v>
      </c>
      <c r="J6" s="81">
        <f t="shared" si="1"/>
        <v>4398.279526167511</v>
      </c>
      <c r="K6" s="81">
        <f t="shared" si="1"/>
        <v>4681.4900900351813</v>
      </c>
      <c r="L6" s="81">
        <f t="shared" si="1"/>
        <v>4936.8097660643243</v>
      </c>
      <c r="M6" s="81">
        <f t="shared" si="1"/>
        <v>5201.0181820911748</v>
      </c>
    </row>
    <row r="7" spans="1:13">
      <c r="A7" s="60" t="s">
        <v>91</v>
      </c>
      <c r="B7" s="86">
        <f>B6/(B6+'Financial Statements'!B38)</f>
        <v>7.3002341134004271E-3</v>
      </c>
      <c r="C7" s="86">
        <f>C6/(C6+'Financial Statements'!C38)</f>
        <v>6.5943745578338096E-3</v>
      </c>
      <c r="D7" s="86">
        <f>D6/(D6+'Financial Statements'!D38)</f>
        <v>7.9338440430462218E-3</v>
      </c>
      <c r="E7" s="86">
        <f>E6/(E6+'Financial Statements'!E38)</f>
        <v>8.6697055788714852E-3</v>
      </c>
      <c r="F7" s="86">
        <f>E7</f>
        <v>8.6697055788714852E-3</v>
      </c>
      <c r="G7" s="86">
        <f>F7</f>
        <v>8.6697055788714852E-3</v>
      </c>
      <c r="H7" s="86">
        <f t="shared" ref="H7:M7" si="2">G7</f>
        <v>8.6697055788714852E-3</v>
      </c>
      <c r="I7" s="86">
        <f t="shared" si="2"/>
        <v>8.6697055788714852E-3</v>
      </c>
      <c r="J7" s="86">
        <f t="shared" si="2"/>
        <v>8.6697055788714852E-3</v>
      </c>
      <c r="K7" s="86">
        <f t="shared" si="2"/>
        <v>8.6697055788714852E-3</v>
      </c>
      <c r="L7" s="86">
        <f t="shared" si="2"/>
        <v>8.6697055788714852E-3</v>
      </c>
      <c r="M7" s="86">
        <f t="shared" si="2"/>
        <v>8.6697055788714852E-3</v>
      </c>
    </row>
    <row r="8" spans="1:1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B9">
        <v>-4</v>
      </c>
      <c r="C9">
        <v>-3</v>
      </c>
      <c r="D9">
        <v>-2</v>
      </c>
      <c r="E9">
        <v>-1</v>
      </c>
      <c r="F9">
        <v>0</v>
      </c>
    </row>
    <row r="10" spans="1:13">
      <c r="A10" s="77" t="s">
        <v>83</v>
      </c>
      <c r="B10" s="94">
        <v>22677</v>
      </c>
      <c r="C10" s="94">
        <v>28592</v>
      </c>
      <c r="D10" s="94">
        <v>33208</v>
      </c>
      <c r="E10" s="94">
        <v>41834</v>
      </c>
      <c r="F10" s="81">
        <f>'Revenue Prediction'!F2*'CapEx Readjustments'!F11</f>
        <v>43058.99326951187</v>
      </c>
      <c r="G10" s="81">
        <f>'Revenue Prediction'!G2*'CapEx Readjustments'!G11</f>
        <v>47058.669933667159</v>
      </c>
      <c r="H10" s="81">
        <f>'Revenue Prediction'!H2*'CapEx Readjustments'!H11</f>
        <v>51009.085318076701</v>
      </c>
      <c r="I10" s="81">
        <f>'Revenue Prediction'!I2*'CapEx Readjustments'!I11</f>
        <v>54787.729694824178</v>
      </c>
      <c r="J10" s="81">
        <f>'Revenue Prediction'!J2*'CapEx Readjustments'!J11</f>
        <v>58363.605137732549</v>
      </c>
      <c r="K10" s="81">
        <f>'Revenue Prediction'!K2*'CapEx Readjustments'!K11</f>
        <v>62121.708601158898</v>
      </c>
      <c r="L10" s="81">
        <f>'Revenue Prediction'!L2*'CapEx Readjustments'!L11</f>
        <v>65509.709901895483</v>
      </c>
      <c r="M10" s="81">
        <f>'Revenue Prediction'!M2*'CapEx Readjustments'!M11</f>
        <v>69015.661621270046</v>
      </c>
    </row>
    <row r="11" spans="1:13">
      <c r="A11" s="95" t="s">
        <v>77</v>
      </c>
      <c r="B11" s="96">
        <f>B10/'Financial Statements'!B2</f>
        <v>8.7724931257572494E-3</v>
      </c>
      <c r="C11" s="96">
        <f>C10/'Financial Statements'!C2</f>
        <v>7.8992088358861463E-3</v>
      </c>
      <c r="D11" s="96">
        <f>D10/'Financial Statements'!D2</f>
        <v>7.7154932764754826E-3</v>
      </c>
      <c r="E11" s="96">
        <f>E10/'Financial Statements'!E2</f>
        <v>8.7340146591314543E-3</v>
      </c>
      <c r="F11" s="84">
        <f>AVERAGE(B11:E11)</f>
        <v>8.2803024743125821E-3</v>
      </c>
      <c r="G11" s="84">
        <f>F11</f>
        <v>8.2803024743125821E-3</v>
      </c>
      <c r="H11" s="84">
        <f t="shared" ref="H11:M11" si="3">G11</f>
        <v>8.2803024743125821E-3</v>
      </c>
      <c r="I11" s="84">
        <f t="shared" si="3"/>
        <v>8.2803024743125821E-3</v>
      </c>
      <c r="J11" s="84">
        <f t="shared" si="3"/>
        <v>8.2803024743125821E-3</v>
      </c>
      <c r="K11" s="84">
        <f t="shared" si="3"/>
        <v>8.2803024743125821E-3</v>
      </c>
      <c r="L11" s="84">
        <f t="shared" si="3"/>
        <v>8.2803024743125821E-3</v>
      </c>
      <c r="M11" s="84">
        <f t="shared" si="3"/>
        <v>8.2803024743125821E-3</v>
      </c>
    </row>
    <row r="12" spans="1:13">
      <c r="A12" s="60" t="s">
        <v>450</v>
      </c>
      <c r="B12" s="121">
        <f>B10*(1-(3/4))</f>
        <v>5669.25</v>
      </c>
      <c r="C12" s="121">
        <f>C10*(1-(2/4))</f>
        <v>14296</v>
      </c>
      <c r="D12" s="121">
        <f>D10*(1-(1/4))</f>
        <v>24906</v>
      </c>
      <c r="E12" s="121">
        <f>E10</f>
        <v>41834</v>
      </c>
      <c r="F12" s="121">
        <f>SUM(B12:E12)</f>
        <v>86705.25</v>
      </c>
      <c r="G12" s="121">
        <f>F14</f>
        <v>108087.93076951188</v>
      </c>
      <c r="H12" s="121">
        <f t="shared" ref="H12:M12" si="4">G14</f>
        <v>128124.61801080107</v>
      </c>
      <c r="I12" s="121">
        <f t="shared" si="4"/>
        <v>147102.54882617749</v>
      </c>
      <c r="J12" s="121">
        <f t="shared" si="4"/>
        <v>165114.64131445729</v>
      </c>
      <c r="K12" s="121">
        <f t="shared" si="4"/>
        <v>182199.58612357551</v>
      </c>
      <c r="L12" s="121">
        <f t="shared" si="4"/>
        <v>198771.39819384055</v>
      </c>
      <c r="M12" s="121">
        <f t="shared" si="4"/>
        <v>214588.25854727591</v>
      </c>
    </row>
    <row r="13" spans="1:13">
      <c r="A13" s="60" t="s">
        <v>85</v>
      </c>
      <c r="B13" s="121"/>
      <c r="C13" s="121"/>
      <c r="D13" s="121"/>
      <c r="E13" s="121"/>
      <c r="F13" s="121">
        <f>F12/4</f>
        <v>21676.3125</v>
      </c>
      <c r="G13" s="121">
        <f>G12/4</f>
        <v>27021.982692377969</v>
      </c>
      <c r="H13" s="121">
        <f t="shared" ref="H13:M13" si="5">H12/4</f>
        <v>32031.154502700268</v>
      </c>
      <c r="I13" s="121">
        <f t="shared" si="5"/>
        <v>36775.637206544372</v>
      </c>
      <c r="J13" s="121">
        <f t="shared" si="5"/>
        <v>41278.660328614322</v>
      </c>
      <c r="K13" s="121">
        <f t="shared" si="5"/>
        <v>45549.896530893879</v>
      </c>
      <c r="L13" s="121">
        <f t="shared" si="5"/>
        <v>49692.849548460137</v>
      </c>
      <c r="M13" s="121">
        <f t="shared" si="5"/>
        <v>53647.064636818977</v>
      </c>
    </row>
    <row r="14" spans="1:13">
      <c r="A14" s="60" t="s">
        <v>449</v>
      </c>
      <c r="B14" s="121"/>
      <c r="C14" s="121"/>
      <c r="D14" s="121"/>
      <c r="E14" s="121"/>
      <c r="F14" s="121">
        <f>F12-F13+F10</f>
        <v>108087.93076951188</v>
      </c>
      <c r="G14" s="121">
        <f>G12-G13+G10</f>
        <v>128124.61801080107</v>
      </c>
      <c r="H14" s="121">
        <f t="shared" ref="H14:M14" si="6">H12-H13+H10</f>
        <v>147102.54882617749</v>
      </c>
      <c r="I14" s="121">
        <f t="shared" si="6"/>
        <v>165114.64131445729</v>
      </c>
      <c r="J14" s="121">
        <f t="shared" si="6"/>
        <v>182199.58612357551</v>
      </c>
      <c r="K14" s="121">
        <f t="shared" si="6"/>
        <v>198771.39819384055</v>
      </c>
      <c r="L14" s="121">
        <f t="shared" si="6"/>
        <v>214588.25854727591</v>
      </c>
      <c r="M14" s="121">
        <f t="shared" si="6"/>
        <v>229956.85553172696</v>
      </c>
    </row>
    <row r="15" spans="1:13">
      <c r="A15" s="60" t="s">
        <v>148</v>
      </c>
      <c r="B15" s="121"/>
      <c r="C15" s="121"/>
      <c r="D15" s="121"/>
      <c r="E15" s="121"/>
      <c r="F15" s="121">
        <f>F10-F13</f>
        <v>21382.68076951187</v>
      </c>
      <c r="G15" s="121">
        <f t="shared" ref="G15:M15" si="7">G10-G13</f>
        <v>20036.68724128919</v>
      </c>
      <c r="H15" s="121">
        <f t="shared" si="7"/>
        <v>18977.930815376432</v>
      </c>
      <c r="I15" s="121">
        <f t="shared" si="7"/>
        <v>18012.092488279806</v>
      </c>
      <c r="J15" s="121">
        <f t="shared" si="7"/>
        <v>17084.944809118228</v>
      </c>
      <c r="K15" s="121">
        <f t="shared" si="7"/>
        <v>16571.812070265019</v>
      </c>
      <c r="L15" s="121">
        <f t="shared" si="7"/>
        <v>15816.860353435346</v>
      </c>
      <c r="M15" s="121">
        <f t="shared" si="7"/>
        <v>15368.596984451069</v>
      </c>
    </row>
    <row r="17" spans="13:13">
      <c r="M17" s="109" t="s">
        <v>413</v>
      </c>
    </row>
    <row r="18" spans="13:13">
      <c r="M18" s="143" t="s">
        <v>414</v>
      </c>
    </row>
    <row r="20" spans="13:13">
      <c r="M20" s="6" t="s">
        <v>453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2D73-81DD-154D-B008-37C007E3698B}">
  <dimension ref="A1:J110"/>
  <sheetViews>
    <sheetView topLeftCell="A71" zoomScale="137" workbookViewId="0">
      <selection activeCell="L108" sqref="L108"/>
    </sheetView>
  </sheetViews>
  <sheetFormatPr baseColWidth="10" defaultColWidth="8.83203125" defaultRowHeight="16"/>
  <cols>
    <col min="1" max="1" width="26.83203125" bestFit="1" customWidth="1"/>
    <col min="2" max="2" width="32.6640625" bestFit="1" customWidth="1"/>
    <col min="3" max="5" width="20.83203125" bestFit="1" customWidth="1"/>
    <col min="6" max="6" width="20.6640625" bestFit="1" customWidth="1"/>
    <col min="7" max="7" width="14" bestFit="1" customWidth="1"/>
    <col min="8" max="8" width="13" bestFit="1" customWidth="1"/>
    <col min="9" max="9" width="18.6640625" bestFit="1" customWidth="1"/>
    <col min="10" max="10" width="10.6640625" bestFit="1" customWidth="1"/>
  </cols>
  <sheetData>
    <row r="1" spans="1:10">
      <c r="A1" t="s">
        <v>32</v>
      </c>
      <c r="B1" t="s">
        <v>30</v>
      </c>
      <c r="D1" t="s">
        <v>31</v>
      </c>
      <c r="E1" s="11">
        <v>0.25</v>
      </c>
    </row>
    <row r="2" spans="1:10">
      <c r="A2" t="s">
        <v>33</v>
      </c>
      <c r="B2" t="s">
        <v>34</v>
      </c>
    </row>
    <row r="5" spans="1:10">
      <c r="A5" s="6" t="s">
        <v>35</v>
      </c>
      <c r="B5" s="6">
        <v>2024</v>
      </c>
      <c r="C5" s="6">
        <v>2023</v>
      </c>
      <c r="D5" s="6">
        <v>2022</v>
      </c>
      <c r="E5" s="6">
        <v>2021</v>
      </c>
      <c r="G5" s="6" t="s">
        <v>58</v>
      </c>
      <c r="H5" s="6" t="s">
        <v>59</v>
      </c>
      <c r="I5" s="6" t="s">
        <v>60</v>
      </c>
    </row>
    <row r="7" spans="1:10">
      <c r="A7" t="s">
        <v>36</v>
      </c>
      <c r="B7" s="7">
        <v>1313517</v>
      </c>
      <c r="C7" s="7">
        <v>1023932</v>
      </c>
      <c r="D7" s="7">
        <v>578844</v>
      </c>
      <c r="E7" s="7">
        <v>392155</v>
      </c>
    </row>
    <row r="8" spans="1:10">
      <c r="A8" t="s">
        <v>4</v>
      </c>
      <c r="B8" s="7">
        <v>158027</v>
      </c>
      <c r="C8" s="7">
        <v>149678</v>
      </c>
      <c r="D8" s="7">
        <v>68143</v>
      </c>
      <c r="E8" s="7">
        <v>29820</v>
      </c>
      <c r="F8" s="7"/>
      <c r="I8" s="7"/>
    </row>
    <row r="9" spans="1:10">
      <c r="A9" t="s">
        <v>51</v>
      </c>
      <c r="B9" s="8">
        <f>B8/C8-1</f>
        <v>5.5779740509627418E-2</v>
      </c>
      <c r="C9" s="8">
        <f t="shared" ref="C9:D9" si="0">C8/D8-1</f>
        <v>1.1965278898786376</v>
      </c>
      <c r="D9" s="8">
        <f t="shared" si="0"/>
        <v>1.2851441985244803</v>
      </c>
      <c r="J9" s="7"/>
    </row>
    <row r="10" spans="1:10">
      <c r="A10" t="s">
        <v>37</v>
      </c>
      <c r="B10" s="8">
        <f>B7/C7-1</f>
        <v>0.28281663235449228</v>
      </c>
      <c r="C10" s="8">
        <f t="shared" ref="C10:D10" si="1">C7/D7-1</f>
        <v>0.76892565181637895</v>
      </c>
      <c r="D10" s="8">
        <f t="shared" si="1"/>
        <v>0.47605921128125361</v>
      </c>
      <c r="J10" s="7"/>
    </row>
    <row r="11" spans="1:10">
      <c r="A11" t="s">
        <v>61</v>
      </c>
      <c r="B11" s="12">
        <f>AVERAGE(B9:D9)/AVERAGE(B10:D10)</f>
        <v>1.6608517771883928</v>
      </c>
      <c r="C11" s="8"/>
      <c r="D11" s="8"/>
      <c r="J11" s="7"/>
    </row>
    <row r="12" spans="1:10">
      <c r="B12" s="7"/>
      <c r="J12" s="7"/>
    </row>
    <row r="13" spans="1:10">
      <c r="A13" t="s">
        <v>39</v>
      </c>
      <c r="B13" s="7">
        <v>6670000</v>
      </c>
    </row>
    <row r="14" spans="1:10">
      <c r="A14" t="s">
        <v>40</v>
      </c>
      <c r="B14" s="7">
        <v>313018</v>
      </c>
    </row>
    <row r="15" spans="1:10">
      <c r="A15" t="s">
        <v>41</v>
      </c>
      <c r="B15" s="3">
        <v>148692</v>
      </c>
    </row>
    <row r="16" spans="1:10">
      <c r="A16" t="s">
        <v>38</v>
      </c>
      <c r="B16" s="10">
        <v>1.51</v>
      </c>
      <c r="G16" s="13">
        <f>B16/(1+(B14/B13)*(1-$E$1))</f>
        <v>1.4586596629993194</v>
      </c>
      <c r="H16" s="13">
        <f>G16/B11</f>
        <v>0.87825998865994015</v>
      </c>
      <c r="I16" s="13">
        <f>H16/(1-(B15/(B14+B13)))</f>
        <v>0.89736797886026476</v>
      </c>
    </row>
    <row r="19" spans="1:9">
      <c r="A19" s="6" t="s">
        <v>42</v>
      </c>
      <c r="B19" t="s">
        <v>43</v>
      </c>
      <c r="C19" t="s">
        <v>44</v>
      </c>
    </row>
    <row r="21" spans="1:9">
      <c r="A21" t="s">
        <v>36</v>
      </c>
      <c r="B21" s="9">
        <v>10778411.779999999</v>
      </c>
      <c r="C21" s="9">
        <v>8904573.5</v>
      </c>
      <c r="D21" s="9">
        <v>6385451.4199999999</v>
      </c>
      <c r="E21" s="9">
        <v>4633150.54</v>
      </c>
    </row>
    <row r="22" spans="1:9">
      <c r="A22" t="s">
        <v>4</v>
      </c>
      <c r="B22" s="9">
        <v>1958958.99</v>
      </c>
      <c r="C22" s="9">
        <v>1580285.29</v>
      </c>
      <c r="D22" s="9">
        <v>1192128.6100000001</v>
      </c>
      <c r="E22" s="9">
        <v>749666.62</v>
      </c>
    </row>
    <row r="23" spans="1:9">
      <c r="A23" t="s">
        <v>52</v>
      </c>
      <c r="B23" s="8">
        <f>B22/C22-1</f>
        <v>0.23962363150263832</v>
      </c>
      <c r="C23" s="8">
        <f t="shared" ref="C23:D23" si="2">C22/D22-1</f>
        <v>0.32559966831095499</v>
      </c>
      <c r="D23" s="8">
        <f t="shared" si="2"/>
        <v>0.59021167302340349</v>
      </c>
    </row>
    <row r="24" spans="1:9">
      <c r="A24" t="s">
        <v>53</v>
      </c>
      <c r="B24" s="8">
        <f>B21/C21-1</f>
        <v>0.21043548913375809</v>
      </c>
      <c r="C24" s="8">
        <f t="shared" ref="C24:D24" si="3">C21/D21-1</f>
        <v>0.39450963045616594</v>
      </c>
      <c r="D24" s="8">
        <f t="shared" si="3"/>
        <v>0.37820935557168411</v>
      </c>
    </row>
    <row r="25" spans="1:9">
      <c r="A25" t="s">
        <v>61</v>
      </c>
      <c r="B25" s="12">
        <f>AVERAGE(B23:D23)/AVERAGE(B24:D24)</f>
        <v>1.1752323790694945</v>
      </c>
      <c r="C25" s="8"/>
      <c r="D25" s="8"/>
    </row>
    <row r="26" spans="1:9">
      <c r="B26" s="9"/>
    </row>
    <row r="27" spans="1:9">
      <c r="A27" t="s">
        <v>39</v>
      </c>
      <c r="B27">
        <v>32857000</v>
      </c>
    </row>
    <row r="28" spans="1:9">
      <c r="A28" t="s">
        <v>40</v>
      </c>
      <c r="B28" s="9">
        <v>794440.48</v>
      </c>
    </row>
    <row r="29" spans="1:9">
      <c r="A29" t="s">
        <v>41</v>
      </c>
      <c r="B29" s="9">
        <v>4082126.42</v>
      </c>
    </row>
    <row r="30" spans="1:9">
      <c r="A30" t="s">
        <v>38</v>
      </c>
      <c r="B30" s="10">
        <v>0.31</v>
      </c>
      <c r="G30" s="13">
        <f>B30/(1+(B28/B27)*(1-$E$1))</f>
        <v>0.30447857148073015</v>
      </c>
      <c r="H30" s="13">
        <f>G30/B25</f>
        <v>0.25907946113755392</v>
      </c>
      <c r="I30" s="13">
        <f>H30/(1-(B29/(B28+B27)))</f>
        <v>0.29484610459241978</v>
      </c>
    </row>
    <row r="32" spans="1:9">
      <c r="A32" s="6" t="s">
        <v>45</v>
      </c>
    </row>
    <row r="33" spans="1:9">
      <c r="B33" s="7"/>
    </row>
    <row r="34" spans="1:9">
      <c r="A34" t="s">
        <v>36</v>
      </c>
      <c r="B34" s="7">
        <v>6118000</v>
      </c>
      <c r="C34" s="7">
        <v>5554100</v>
      </c>
      <c r="D34" s="7">
        <v>5304400</v>
      </c>
      <c r="E34" s="7">
        <v>4629900</v>
      </c>
    </row>
    <row r="35" spans="1:9">
      <c r="A35" t="s">
        <v>46</v>
      </c>
      <c r="B35" s="7">
        <v>583400</v>
      </c>
      <c r="C35" s="7">
        <v>537200</v>
      </c>
      <c r="D35" s="7">
        <v>280500</v>
      </c>
      <c r="E35" s="7">
        <v>153800</v>
      </c>
    </row>
    <row r="36" spans="1:9">
      <c r="A36" t="s">
        <v>54</v>
      </c>
      <c r="B36" s="8">
        <f>B35/C35-1</f>
        <v>8.6001489203276327E-2</v>
      </c>
      <c r="C36" s="8">
        <f t="shared" ref="C36:D36" si="4">C35/D35-1</f>
        <v>0.91515151515151505</v>
      </c>
      <c r="D36" s="8">
        <f t="shared" si="4"/>
        <v>0.82379713914174246</v>
      </c>
      <c r="E36" s="7"/>
    </row>
    <row r="37" spans="1:9">
      <c r="A37" t="s">
        <v>53</v>
      </c>
      <c r="B37" s="8">
        <f>B34/C34-1</f>
        <v>0.10152860049332935</v>
      </c>
      <c r="C37" s="8">
        <f t="shared" ref="C37:D37" si="5">C34/D34-1</f>
        <v>4.7074127139733024E-2</v>
      </c>
      <c r="D37" s="8">
        <f t="shared" si="5"/>
        <v>0.14568349208406239</v>
      </c>
      <c r="E37" s="7"/>
    </row>
    <row r="38" spans="1:9">
      <c r="A38" t="s">
        <v>61</v>
      </c>
      <c r="B38" s="12">
        <f>AVERAGE(B36:D36)/AVERAGE(B37:D37)</f>
        <v>6.201276244775312</v>
      </c>
      <c r="C38" s="8"/>
      <c r="D38" s="8"/>
      <c r="E38" s="7"/>
    </row>
    <row r="39" spans="1:9">
      <c r="B39" s="7"/>
    </row>
    <row r="40" spans="1:9">
      <c r="A40" t="s">
        <v>47</v>
      </c>
      <c r="B40" s="3">
        <v>4313000</v>
      </c>
    </row>
    <row r="41" spans="1:9">
      <c r="A41" t="s">
        <v>40</v>
      </c>
      <c r="B41" s="7">
        <v>4121300</v>
      </c>
    </row>
    <row r="42" spans="1:9">
      <c r="A42" t="s">
        <v>41</v>
      </c>
      <c r="B42" s="7">
        <v>300800</v>
      </c>
    </row>
    <row r="43" spans="1:9">
      <c r="A43" t="s">
        <v>38</v>
      </c>
      <c r="B43" s="10">
        <v>1.9</v>
      </c>
      <c r="G43" s="13">
        <f>B43/(1+(B41/B40)*(1-$E$1))</f>
        <v>1.1067973622277223</v>
      </c>
      <c r="H43" s="13">
        <f>G43/B38</f>
        <v>0.17847896441643268</v>
      </c>
      <c r="I43" s="13">
        <f>H43/(1-(B42/(B41+B40)))</f>
        <v>0.18507962495574085</v>
      </c>
    </row>
    <row r="44" spans="1:9">
      <c r="B44" s="7"/>
    </row>
    <row r="45" spans="1:9">
      <c r="A45" s="6" t="s">
        <v>48</v>
      </c>
      <c r="B45" s="7"/>
    </row>
    <row r="46" spans="1:9">
      <c r="A46" t="s">
        <v>36</v>
      </c>
      <c r="B46" s="7">
        <v>1452325</v>
      </c>
      <c r="C46" s="7">
        <v>1317675</v>
      </c>
      <c r="D46" s="7">
        <v>1086653</v>
      </c>
      <c r="E46" s="7">
        <v>879516</v>
      </c>
    </row>
    <row r="47" spans="1:9">
      <c r="A47" t="s">
        <v>46</v>
      </c>
      <c r="B47" s="7">
        <v>278801</v>
      </c>
      <c r="C47" s="7">
        <v>251382</v>
      </c>
      <c r="D47" s="7">
        <v>202052</v>
      </c>
      <c r="E47" s="7">
        <v>150443</v>
      </c>
    </row>
    <row r="48" spans="1:9">
      <c r="A48" t="s">
        <v>54</v>
      </c>
      <c r="B48" s="8">
        <f>B47/C47-1</f>
        <v>0.10907304421159836</v>
      </c>
      <c r="C48" s="8">
        <f t="shared" ref="C48:D48" si="6">C47/D47-1</f>
        <v>0.24414507156573562</v>
      </c>
      <c r="D48" s="8">
        <f t="shared" si="6"/>
        <v>0.34304686824910435</v>
      </c>
      <c r="E48" s="7"/>
      <c r="F48" s="7"/>
    </row>
    <row r="49" spans="1:9">
      <c r="A49" t="s">
        <v>53</v>
      </c>
      <c r="B49" s="8">
        <f>B46/C46-1</f>
        <v>0.10218756521904115</v>
      </c>
      <c r="C49" s="8">
        <f t="shared" ref="C49:D49" si="7">C46/D46-1</f>
        <v>0.21259960631406716</v>
      </c>
      <c r="D49" s="8">
        <f t="shared" si="7"/>
        <v>0.23551248641298161</v>
      </c>
      <c r="E49" s="7"/>
      <c r="F49" s="7"/>
    </row>
    <row r="50" spans="1:9">
      <c r="A50" t="s">
        <v>61</v>
      </c>
      <c r="B50" s="12">
        <f>AVERAGE(B48:D48)/AVERAGE(B49:D49)</f>
        <v>1.2652469867510765</v>
      </c>
      <c r="C50" s="8"/>
      <c r="D50" s="8"/>
      <c r="E50" s="7"/>
      <c r="F50" s="7"/>
    </row>
    <row r="51" spans="1:9">
      <c r="B51" s="7"/>
    </row>
    <row r="52" spans="1:9">
      <c r="A52" t="s">
        <v>39</v>
      </c>
      <c r="B52" s="3">
        <v>4156000</v>
      </c>
    </row>
    <row r="53" spans="1:9">
      <c r="A53" t="s">
        <v>40</v>
      </c>
      <c r="B53" s="7">
        <v>192194</v>
      </c>
    </row>
    <row r="54" spans="1:9">
      <c r="A54" t="s">
        <v>41</v>
      </c>
      <c r="B54" s="7">
        <v>234744</v>
      </c>
    </row>
    <row r="55" spans="1:9">
      <c r="A55" t="s">
        <v>38</v>
      </c>
      <c r="B55" s="10">
        <v>1.38</v>
      </c>
      <c r="G55" s="13">
        <f>B55/(1+(B53/B52)*(1-$E$1))</f>
        <v>1.3337409164410829</v>
      </c>
      <c r="H55" s="13">
        <f>G55/B50</f>
        <v>1.0541348293315334</v>
      </c>
      <c r="I55" s="13">
        <f>H55/(1-(B54/(B53+B52)))</f>
        <v>1.1142915898067067</v>
      </c>
    </row>
    <row r="57" spans="1:9">
      <c r="A57" s="6" t="s">
        <v>49</v>
      </c>
      <c r="B57" s="7"/>
    </row>
    <row r="58" spans="1:9">
      <c r="A58" t="s">
        <v>36</v>
      </c>
      <c r="B58" s="7">
        <v>322758000</v>
      </c>
      <c r="C58" s="7">
        <v>300406000</v>
      </c>
      <c r="D58" s="7">
        <v>289136000</v>
      </c>
      <c r="E58" s="7">
        <v>279389000</v>
      </c>
    </row>
    <row r="59" spans="1:9">
      <c r="A59" t="s">
        <v>46</v>
      </c>
      <c r="B59" s="7">
        <v>17368000</v>
      </c>
      <c r="C59" s="7">
        <v>15989000</v>
      </c>
      <c r="D59" s="7">
        <v>22124000</v>
      </c>
      <c r="E59" s="7">
        <v>13296000</v>
      </c>
    </row>
    <row r="60" spans="1:9">
      <c r="A60" t="s">
        <v>55</v>
      </c>
      <c r="B60" s="8">
        <f>B59/C59-1</f>
        <v>8.6246794671336557E-2</v>
      </c>
      <c r="C60" s="8">
        <f t="shared" ref="C60:D60" si="8">C59/D59-1</f>
        <v>-0.27730066895678895</v>
      </c>
      <c r="D60" s="8">
        <f t="shared" si="8"/>
        <v>0.66395908543922988</v>
      </c>
      <c r="E60" s="7"/>
      <c r="F60" s="7"/>
    </row>
    <row r="61" spans="1:9">
      <c r="A61" t="s">
        <v>56</v>
      </c>
      <c r="B61" s="8">
        <f>B58/C58-1</f>
        <v>7.4405970586473025E-2</v>
      </c>
      <c r="C61" s="8">
        <f t="shared" ref="C61:D61" si="9">C58/D58-1</f>
        <v>3.8978197111394053E-2</v>
      </c>
      <c r="D61" s="8">
        <f t="shared" si="9"/>
        <v>3.4886842359577397E-2</v>
      </c>
      <c r="E61" s="7"/>
      <c r="F61" s="7"/>
    </row>
    <row r="62" spans="1:9">
      <c r="A62" t="s">
        <v>61</v>
      </c>
      <c r="B62" s="12">
        <f>AVERAGE(B60:D60)/AVERAGE(B61:D61)</f>
        <v>3.1894650948324985</v>
      </c>
      <c r="C62" s="8"/>
      <c r="D62" s="8"/>
      <c r="E62" s="7"/>
      <c r="F62" s="7"/>
    </row>
    <row r="63" spans="1:9">
      <c r="B63" s="7"/>
    </row>
    <row r="64" spans="1:9">
      <c r="A64" t="s">
        <v>39</v>
      </c>
      <c r="B64" s="3">
        <v>314256000</v>
      </c>
    </row>
    <row r="65" spans="1:9">
      <c r="A65" t="s">
        <v>40</v>
      </c>
      <c r="B65" s="7">
        <v>11222000</v>
      </c>
    </row>
    <row r="66" spans="1:9">
      <c r="A66" t="s">
        <v>41</v>
      </c>
      <c r="B66" s="7">
        <v>113970000</v>
      </c>
    </row>
    <row r="67" spans="1:9">
      <c r="A67" t="s">
        <v>38</v>
      </c>
      <c r="B67" s="10">
        <v>0.22</v>
      </c>
      <c r="G67" s="13">
        <f>B67/(1+(B65/B64)*(1-$E$1))</f>
        <v>0.21426158101480602</v>
      </c>
      <c r="H67" s="13">
        <f>G67/B62</f>
        <v>6.7177904333221253E-2</v>
      </c>
      <c r="I67" s="13">
        <f>H67/(1-(B66/(B65+B64)))</f>
        <v>0.1033763732178839</v>
      </c>
    </row>
    <row r="69" spans="1:9">
      <c r="A69" s="6" t="s">
        <v>50</v>
      </c>
      <c r="B69" s="7"/>
    </row>
    <row r="70" spans="1:9">
      <c r="A70" t="s">
        <v>36</v>
      </c>
      <c r="B70" s="7">
        <v>84683000</v>
      </c>
      <c r="C70" s="7">
        <v>86153000</v>
      </c>
      <c r="D70" s="7">
        <v>79183000</v>
      </c>
      <c r="E70" s="7">
        <v>64215000</v>
      </c>
    </row>
    <row r="71" spans="1:9">
      <c r="A71" t="s">
        <v>46</v>
      </c>
      <c r="B71" s="7">
        <v>19578000</v>
      </c>
      <c r="C71" s="7">
        <v>22781000</v>
      </c>
      <c r="D71" s="7">
        <v>21014000</v>
      </c>
      <c r="E71" s="7">
        <v>17122000</v>
      </c>
    </row>
    <row r="72" spans="1:9">
      <c r="A72" t="s">
        <v>55</v>
      </c>
      <c r="B72" s="8">
        <f>B71/C71-1</f>
        <v>-0.14059962249242786</v>
      </c>
      <c r="C72" s="8">
        <f t="shared" ref="C72:D72" si="10">C71/D71-1</f>
        <v>8.408679927667273E-2</v>
      </c>
      <c r="D72" s="8">
        <f t="shared" si="10"/>
        <v>0.22730989370400656</v>
      </c>
      <c r="E72" s="7"/>
    </row>
    <row r="73" spans="1:9">
      <c r="A73" t="s">
        <v>56</v>
      </c>
      <c r="B73" s="8">
        <f>B70/C70-1</f>
        <v>-1.7062667579770818E-2</v>
      </c>
      <c r="C73" s="8">
        <f t="shared" ref="C73:D73" si="11">C70/D70-1</f>
        <v>8.8023944533548892E-2</v>
      </c>
      <c r="D73" s="8">
        <f t="shared" si="11"/>
        <v>0.23309195670793437</v>
      </c>
      <c r="E73" s="7"/>
    </row>
    <row r="74" spans="1:9">
      <c r="A74" t="s">
        <v>61</v>
      </c>
      <c r="B74" s="12">
        <f>AVERAGE(B72:D72)/AVERAGE(B73:D73)</f>
        <v>0.56173410304288718</v>
      </c>
      <c r="C74" s="8"/>
      <c r="D74" s="8"/>
      <c r="E74" s="7"/>
    </row>
    <row r="75" spans="1:9">
      <c r="B75" s="7"/>
    </row>
    <row r="76" spans="1:9">
      <c r="A76" t="s">
        <v>39</v>
      </c>
      <c r="B76" s="3">
        <v>236769000</v>
      </c>
    </row>
    <row r="77" spans="1:9">
      <c r="A77" t="s">
        <v>40</v>
      </c>
      <c r="B77" s="7">
        <v>41203000</v>
      </c>
    </row>
    <row r="78" spans="1:9">
      <c r="A78" t="s">
        <v>41</v>
      </c>
      <c r="B78" s="7">
        <v>13587000</v>
      </c>
    </row>
    <row r="79" spans="1:9">
      <c r="A79" t="s">
        <v>38</v>
      </c>
      <c r="B79" s="7">
        <v>1</v>
      </c>
      <c r="G79" s="13">
        <f>B79/(1+(B77/B76)*(1-$E$1))</f>
        <v>0.88455147872623607</v>
      </c>
      <c r="H79" s="13">
        <f>G79/B74</f>
        <v>1.5746800380013646</v>
      </c>
      <c r="I79" s="13">
        <f>H79/(1-(B78/(B77+B76)))</f>
        <v>1.6556043630437252</v>
      </c>
    </row>
    <row r="82" spans="1:9">
      <c r="A82" s="6" t="s">
        <v>57</v>
      </c>
    </row>
    <row r="83" spans="1:9">
      <c r="A83" t="s">
        <v>36</v>
      </c>
      <c r="B83" s="7">
        <v>15608000</v>
      </c>
      <c r="C83" s="7">
        <v>15910000</v>
      </c>
      <c r="D83" s="7">
        <v>17737000</v>
      </c>
      <c r="E83" s="7">
        <v>16215000</v>
      </c>
    </row>
    <row r="84" spans="1:9">
      <c r="A84" t="s">
        <v>46</v>
      </c>
      <c r="B84" s="7">
        <v>1563000</v>
      </c>
      <c r="C84" s="7">
        <v>1771000</v>
      </c>
      <c r="D84" s="7">
        <v>3544000</v>
      </c>
      <c r="E84" s="7">
        <v>3010000</v>
      </c>
    </row>
    <row r="85" spans="1:9">
      <c r="A85" t="s">
        <v>55</v>
      </c>
      <c r="B85" s="8">
        <f>B84/C84-1</f>
        <v>-0.11744776962168268</v>
      </c>
      <c r="C85" s="8">
        <f t="shared" ref="C85" si="12">C84/D84-1</f>
        <v>-0.50028216704288941</v>
      </c>
      <c r="D85" s="8">
        <f t="shared" ref="D85" si="13">D84/E84-1</f>
        <v>0.17740863787375405</v>
      </c>
      <c r="E85" s="7"/>
    </row>
    <row r="86" spans="1:9">
      <c r="A86" t="s">
        <v>56</v>
      </c>
      <c r="B86" s="8">
        <f>B83/C83-1</f>
        <v>-1.8981772470144542E-2</v>
      </c>
      <c r="C86" s="8">
        <f t="shared" ref="C86:D86" si="14">C83/D83-1</f>
        <v>-0.10300501775948578</v>
      </c>
      <c r="D86" s="8">
        <f t="shared" si="14"/>
        <v>9.3863706444649919E-2</v>
      </c>
      <c r="E86" s="7"/>
    </row>
    <row r="87" spans="1:9">
      <c r="A87" t="s">
        <v>61</v>
      </c>
      <c r="B87" s="12">
        <f>AVERAGE(B85:D85)/AVERAGE(B86:D86)</f>
        <v>15.656935141158982</v>
      </c>
      <c r="C87" s="8"/>
      <c r="D87" s="8"/>
      <c r="E87" s="7"/>
    </row>
    <row r="89" spans="1:9">
      <c r="A89" t="s">
        <v>39</v>
      </c>
      <c r="B89" s="3">
        <v>31329000</v>
      </c>
    </row>
    <row r="90" spans="1:9">
      <c r="A90" t="s">
        <v>40</v>
      </c>
      <c r="B90" s="7">
        <v>9826000</v>
      </c>
    </row>
    <row r="91" spans="1:9">
      <c r="A91" t="s">
        <v>41</v>
      </c>
      <c r="B91" s="7">
        <v>3395000</v>
      </c>
    </row>
    <row r="92" spans="1:9">
      <c r="A92" t="s">
        <v>38</v>
      </c>
      <c r="B92" s="10">
        <v>1.1200000000000001</v>
      </c>
      <c r="G92" s="13">
        <f>B92/(1+(B90/B89)*(1-$E$1))</f>
        <v>0.90671421372921435</v>
      </c>
      <c r="H92" s="13">
        <f>G92/B87</f>
        <v>5.7911347626755011E-2</v>
      </c>
      <c r="I92" s="13">
        <f>H92/(1-(B91/(B90+B89)))</f>
        <v>6.3118154438005891E-2</v>
      </c>
    </row>
    <row r="95" spans="1:9">
      <c r="A95" s="6" t="s">
        <v>62</v>
      </c>
      <c r="B95" s="7"/>
    </row>
    <row r="96" spans="1:9">
      <c r="A96" t="s">
        <v>36</v>
      </c>
      <c r="B96" s="7">
        <v>4789779</v>
      </c>
      <c r="C96" s="7">
        <v>4304067</v>
      </c>
      <c r="D96" s="7">
        <v>3619603</v>
      </c>
      <c r="E96" s="7">
        <v>2585012</v>
      </c>
    </row>
    <row r="97" spans="1:5">
      <c r="A97" t="s">
        <v>46</v>
      </c>
      <c r="B97" s="7">
        <v>749386</v>
      </c>
      <c r="C97" s="7">
        <v>688513</v>
      </c>
      <c r="D97" s="7">
        <v>536495</v>
      </c>
      <c r="E97" s="7">
        <v>386529</v>
      </c>
    </row>
    <row r="98" spans="1:5">
      <c r="A98" t="s">
        <v>55</v>
      </c>
      <c r="B98" s="8">
        <f>B97/C97-1</f>
        <v>8.8412273987564571E-2</v>
      </c>
      <c r="C98" s="8">
        <f t="shared" ref="C98:D98" si="15">C97/D97-1</f>
        <v>0.28335399211549039</v>
      </c>
      <c r="D98" s="8">
        <f t="shared" si="15"/>
        <v>0.3879812381477199</v>
      </c>
      <c r="E98" s="7"/>
    </row>
    <row r="99" spans="1:5">
      <c r="A99" t="s">
        <v>56</v>
      </c>
      <c r="B99" s="8">
        <f>B96/C96-1</f>
        <v>0.1128495443960329</v>
      </c>
      <c r="C99" s="8">
        <f t="shared" ref="C99:D99" si="16">C96/D96-1</f>
        <v>0.18909919126489849</v>
      </c>
      <c r="D99" s="8">
        <f t="shared" si="16"/>
        <v>0.40022676877322039</v>
      </c>
      <c r="E99" s="7"/>
    </row>
    <row r="100" spans="1:5">
      <c r="A100" t="s">
        <v>61</v>
      </c>
      <c r="B100" s="9">
        <f>AVERAGE(B98:D98)/AVERAGE(B99:D99)</f>
        <v>1.0819908975079064</v>
      </c>
      <c r="C100" s="7"/>
      <c r="D100" s="7"/>
      <c r="E100" s="7"/>
    </row>
    <row r="101" spans="1:5">
      <c r="B101" s="7"/>
    </row>
    <row r="102" spans="1:5">
      <c r="A102" t="s">
        <v>39</v>
      </c>
      <c r="B102" s="3">
        <v>9588000</v>
      </c>
    </row>
    <row r="103" spans="1:5">
      <c r="A103" t="s">
        <v>40</v>
      </c>
      <c r="B103" s="7">
        <v>1731605</v>
      </c>
    </row>
    <row r="104" spans="1:5">
      <c r="A104" t="s">
        <v>41</v>
      </c>
      <c r="B104" s="7">
        <v>884435</v>
      </c>
    </row>
    <row r="106" spans="1:5">
      <c r="A106" t="s">
        <v>63</v>
      </c>
    </row>
    <row r="107" spans="1:5">
      <c r="A107" t="s">
        <v>60</v>
      </c>
      <c r="B107" s="13">
        <f>AVERAGE(I16:I89)</f>
        <v>0.70842767241279025</v>
      </c>
    </row>
    <row r="108" spans="1:5">
      <c r="A108" t="s">
        <v>59</v>
      </c>
      <c r="B108" s="13">
        <f>B107*(1-(B104/(B103+B102)))</f>
        <v>0.6530760741502708</v>
      </c>
      <c r="C108" s="13">
        <f>AVERAGE(H16:H92)</f>
        <v>0.58138893335811426</v>
      </c>
    </row>
    <row r="109" spans="1:5">
      <c r="A109" t="s">
        <v>58</v>
      </c>
      <c r="B109" s="13">
        <f>B108*B100</f>
        <v>0.70662236761079156</v>
      </c>
      <c r="C109" s="13">
        <f>C108*B100</f>
        <v>0.62905753380531049</v>
      </c>
    </row>
    <row r="110" spans="1:5">
      <c r="A110" t="s">
        <v>64</v>
      </c>
      <c r="B110" s="35">
        <f>B109*(1+($B$103/$B$102)*(1-$E$1))</f>
        <v>0.80233504164604541</v>
      </c>
      <c r="C110" s="35">
        <f>C109*(1+($B$103/$B$102)*(1-$E$1))</f>
        <v>0.71426397708010281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8B53-D9DB-C34F-A23D-9ED2992689B5}">
  <dimension ref="A1:Z995"/>
  <sheetViews>
    <sheetView zoomScale="144" workbookViewId="0"/>
  </sheetViews>
  <sheetFormatPr baseColWidth="10" defaultRowHeight="16"/>
  <cols>
    <col min="1" max="1" width="22.5" bestFit="1" customWidth="1"/>
    <col min="2" max="2" width="14.5" customWidth="1"/>
    <col min="8" max="8" width="13.5" bestFit="1" customWidth="1"/>
  </cols>
  <sheetData>
    <row r="1" spans="1:26">
      <c r="A1" s="24" t="s">
        <v>161</v>
      </c>
      <c r="B1" s="24"/>
      <c r="C1" s="24"/>
      <c r="D1" s="36"/>
      <c r="E1" s="37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>
      <c r="A2" s="24" t="s">
        <v>149</v>
      </c>
      <c r="B2" s="49">
        <v>7.9892649999999996E-2</v>
      </c>
      <c r="C2" s="24" t="s">
        <v>166</v>
      </c>
      <c r="D2" s="24"/>
      <c r="E2" s="38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>
      <c r="A3" s="24" t="s">
        <v>159</v>
      </c>
      <c r="B3" s="33">
        <v>2.716E-2</v>
      </c>
      <c r="C3" s="24" t="s">
        <v>160</v>
      </c>
      <c r="D3" s="39"/>
      <c r="E3" s="40"/>
      <c r="F3" s="41"/>
      <c r="G3" s="24"/>
      <c r="H3" s="39"/>
      <c r="I3" s="42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>
      <c r="A5" s="43" t="s">
        <v>156</v>
      </c>
      <c r="B5" s="43">
        <v>0</v>
      </c>
      <c r="C5" s="43">
        <v>1</v>
      </c>
      <c r="D5" s="43">
        <v>2</v>
      </c>
      <c r="E5" s="43">
        <v>3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>
      <c r="A6" s="43" t="s">
        <v>157</v>
      </c>
      <c r="B6" s="119">
        <v>1312.63</v>
      </c>
      <c r="C6" s="119">
        <v>1479.55</v>
      </c>
      <c r="D6" s="119">
        <v>1667.66</v>
      </c>
      <c r="E6" s="119">
        <v>1896.3</v>
      </c>
      <c r="F6" s="119">
        <f>E6*(1+F9)</f>
        <v>1947.8793599999997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spans="1:26">
      <c r="A7" s="43" t="s">
        <v>158</v>
      </c>
      <c r="B7" s="119">
        <v>11943.75</v>
      </c>
      <c r="C7" s="119">
        <v>13030.39</v>
      </c>
      <c r="D7" s="119">
        <v>14000.37</v>
      </c>
      <c r="E7" s="119">
        <v>14832.72</v>
      </c>
      <c r="F7" s="120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6">
      <c r="A8" s="43" t="s">
        <v>151</v>
      </c>
      <c r="B8" s="43"/>
      <c r="C8" s="51">
        <f>C6/B7</f>
        <v>0.12387650444793302</v>
      </c>
      <c r="D8" s="51">
        <f>D6/C7</f>
        <v>0.12798235509451369</v>
      </c>
      <c r="E8" s="51">
        <f>E6/D7</f>
        <v>0.13544642034460516</v>
      </c>
      <c r="F8" s="50">
        <f>AVERAGE(C8:E8)</f>
        <v>0.12910175996235063</v>
      </c>
      <c r="G8" s="45"/>
      <c r="H8" s="45"/>
      <c r="I8" s="44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1:26">
      <c r="A9" s="43" t="s">
        <v>152</v>
      </c>
      <c r="B9" s="43"/>
      <c r="C9" s="44">
        <f>C6/B6-1</f>
        <v>0.12716454751148443</v>
      </c>
      <c r="D9" s="44">
        <f>D6/C6-1</f>
        <v>0.12714000878645537</v>
      </c>
      <c r="E9" s="44">
        <f>E6/D6-1</f>
        <v>0.13710228703692584</v>
      </c>
      <c r="F9" s="44">
        <v>2.7199999999999998E-2</v>
      </c>
      <c r="G9" s="50">
        <v>2.7199999999999998E-2</v>
      </c>
      <c r="H9" s="45"/>
      <c r="I9" s="44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spans="1:26">
      <c r="A10" s="43" t="s">
        <v>162</v>
      </c>
      <c r="B10" s="43"/>
      <c r="C10" s="44">
        <f>D9/C8</f>
        <v>1.0263448210220854</v>
      </c>
      <c r="D10" s="44">
        <f>E9/D8</f>
        <v>1.0712592914521473</v>
      </c>
      <c r="E10" s="44">
        <f>F9/E8</f>
        <v>0.2008174149659864</v>
      </c>
      <c r="F10" s="44">
        <f>G9/F8</f>
        <v>0.2106865158765629</v>
      </c>
      <c r="G10" s="45"/>
      <c r="H10" s="45"/>
      <c r="I10" s="44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spans="1:26">
      <c r="A11" s="43" t="s">
        <v>163</v>
      </c>
      <c r="B11" s="43"/>
      <c r="C11" s="46">
        <f>C6*(1-C10)</f>
        <v>-38.978479943226382</v>
      </c>
      <c r="D11" s="46">
        <f>D6*(1-D10)</f>
        <v>-118.83626998308792</v>
      </c>
      <c r="E11" s="46">
        <f>E6*(1-E10)</f>
        <v>1515.4899359999999</v>
      </c>
      <c r="F11" s="46">
        <f t="shared" ref="F11" si="0">F6*(1-F10)</f>
        <v>1537.4874442937305</v>
      </c>
      <c r="G11" s="45"/>
      <c r="H11" s="45"/>
      <c r="I11" s="44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spans="1:26">
      <c r="A12" s="43" t="s">
        <v>153</v>
      </c>
      <c r="B12" s="43"/>
      <c r="C12" s="46"/>
      <c r="D12" s="46"/>
      <c r="E12" s="46">
        <f>F11/(B2-B3)</f>
        <v>29156.271196189282</v>
      </c>
      <c r="F12" s="46"/>
      <c r="G12" s="45"/>
      <c r="H12" s="45"/>
      <c r="I12" s="44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spans="1:26">
      <c r="A13" s="43" t="s">
        <v>164</v>
      </c>
      <c r="B13" s="43"/>
      <c r="C13" s="46">
        <f>SUM(C11:C12)</f>
        <v>-38.978479943226382</v>
      </c>
      <c r="D13" s="46">
        <f t="shared" ref="D13:E13" si="1">SUM(D11:D12)</f>
        <v>-118.83626998308792</v>
      </c>
      <c r="E13" s="46">
        <f t="shared" si="1"/>
        <v>30671.761132189284</v>
      </c>
      <c r="F13" s="46"/>
      <c r="G13" s="45"/>
      <c r="H13" s="45"/>
      <c r="I13" s="44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spans="1:26">
      <c r="A14" s="43" t="s">
        <v>165</v>
      </c>
      <c r="B14" s="43"/>
      <c r="C14" s="46">
        <f>C13/((1+$B$2)^C5)</f>
        <v>-36.094772886199742</v>
      </c>
      <c r="D14" s="46">
        <f>D13/((1+$B$2)^D5)</f>
        <v>-101.90320448919518</v>
      </c>
      <c r="E14" s="46">
        <f>E13/((1+$B$2)^E5)</f>
        <v>24355.494826977909</v>
      </c>
      <c r="F14" s="46"/>
      <c r="G14" s="45"/>
      <c r="H14" s="45"/>
      <c r="I14" s="44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spans="1:26">
      <c r="A15" s="43" t="s">
        <v>154</v>
      </c>
      <c r="B15" s="120">
        <f>SUM(C14:E14)</f>
        <v>24217.496849602514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>
      <c r="A16" s="43" t="s">
        <v>155</v>
      </c>
      <c r="B16" s="120">
        <v>24217.5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>
      <c r="A17" s="43"/>
      <c r="B17" s="43"/>
      <c r="C17" s="43"/>
      <c r="D17" s="43"/>
      <c r="E17" s="43"/>
      <c r="F17" s="43"/>
      <c r="G17" s="43"/>
      <c r="H17" s="109" t="s">
        <v>413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>
      <c r="A18" s="47" t="s">
        <v>167</v>
      </c>
      <c r="B18" s="48">
        <f>B2-B3</f>
        <v>5.2732649999999992E-2</v>
      </c>
      <c r="C18" s="43"/>
      <c r="D18" s="43"/>
      <c r="E18" s="43"/>
      <c r="F18" s="43"/>
      <c r="G18" s="43"/>
      <c r="H18" s="143" t="s">
        <v>414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15C9-33C6-9B43-845B-15E201B96D03}">
  <dimension ref="A1:O161"/>
  <sheetViews>
    <sheetView zoomScale="59" workbookViewId="0">
      <selection activeCell="B1" sqref="B1"/>
    </sheetView>
  </sheetViews>
  <sheetFormatPr baseColWidth="10" defaultColWidth="8.83203125" defaultRowHeight="16"/>
  <cols>
    <col min="1" max="1" width="29" bestFit="1" customWidth="1"/>
    <col min="2" max="2" width="15.6640625" bestFit="1" customWidth="1"/>
    <col min="3" max="3" width="13.6640625" bestFit="1" customWidth="1"/>
    <col min="4" max="4" width="11" customWidth="1"/>
    <col min="6" max="6" width="23" bestFit="1" customWidth="1"/>
    <col min="7" max="8" width="13.6640625" bestFit="1" customWidth="1"/>
    <col min="9" max="9" width="18.33203125" bestFit="1" customWidth="1"/>
    <col min="10" max="12" width="18.1640625" customWidth="1"/>
    <col min="13" max="13" width="6.6640625" bestFit="1" customWidth="1"/>
    <col min="14" max="14" width="13.1640625" bestFit="1" customWidth="1"/>
    <col min="15" max="15" width="12.33203125" bestFit="1" customWidth="1"/>
  </cols>
  <sheetData>
    <row r="1" spans="1:15">
      <c r="A1" s="145" t="s">
        <v>168</v>
      </c>
      <c r="B1" s="146" t="s">
        <v>451</v>
      </c>
    </row>
    <row r="2" spans="1:15">
      <c r="A2" s="54" t="s">
        <v>171</v>
      </c>
      <c r="B2" s="52">
        <v>84722.957642375652</v>
      </c>
      <c r="C2">
        <v>30456.566853602948</v>
      </c>
    </row>
    <row r="3" spans="1:15">
      <c r="A3" s="54" t="s">
        <v>172</v>
      </c>
      <c r="B3" s="52">
        <v>19673.284686002258</v>
      </c>
      <c r="C3">
        <v>4047.3637870646344</v>
      </c>
      <c r="G3" s="6" t="s">
        <v>350</v>
      </c>
      <c r="H3" s="6" t="s">
        <v>351</v>
      </c>
      <c r="I3" s="6" t="s">
        <v>352</v>
      </c>
      <c r="J3" s="6" t="s">
        <v>353</v>
      </c>
      <c r="K3" s="6" t="s">
        <v>354</v>
      </c>
      <c r="L3" s="6" t="s">
        <v>358</v>
      </c>
      <c r="M3" s="6" t="s">
        <v>355</v>
      </c>
      <c r="N3" s="6" t="s">
        <v>356</v>
      </c>
      <c r="O3" s="6" t="s">
        <v>357</v>
      </c>
    </row>
    <row r="4" spans="1:15">
      <c r="A4" s="54" t="s">
        <v>173</v>
      </c>
      <c r="B4" s="52">
        <v>19395.765126312748</v>
      </c>
      <c r="C4">
        <v>5053.318552264358</v>
      </c>
      <c r="F4" s="66" t="s">
        <v>201</v>
      </c>
      <c r="G4">
        <v>2349249.4267625553</v>
      </c>
      <c r="H4">
        <v>639236.33898934035</v>
      </c>
      <c r="I4" s="5"/>
      <c r="J4" s="5"/>
      <c r="K4" s="5"/>
      <c r="L4" s="5"/>
      <c r="M4" s="53">
        <f>VLOOKUP(F4,'[1]Damodaran CRP by Country'!$A$2:$E$167,3,0)</f>
        <v>2.3599969907680082E-2</v>
      </c>
      <c r="N4" s="53">
        <f>G4/$G$8</f>
        <v>7.682070820204473E-2</v>
      </c>
      <c r="O4" s="53">
        <f>M4*N4</f>
        <v>1.8129664018549281E-3</v>
      </c>
    </row>
    <row r="5" spans="1:15">
      <c r="A5" s="54" t="s">
        <v>174</v>
      </c>
      <c r="B5" s="52">
        <v>20324.617838967646</v>
      </c>
      <c r="C5">
        <v>6623.3648484383448</v>
      </c>
      <c r="F5" t="s">
        <v>306</v>
      </c>
      <c r="G5">
        <v>3109419.4224983715</v>
      </c>
      <c r="H5">
        <v>1613802.6796610253</v>
      </c>
      <c r="I5" s="5"/>
      <c r="J5" s="5"/>
      <c r="K5" s="5"/>
      <c r="L5" s="5"/>
      <c r="M5" s="53">
        <f>VLOOKUP(F5,'[1]Damodaran CRP by Country'!$A$2:$E$167,3,0)</f>
        <v>2.3271352692212581E-2</v>
      </c>
      <c r="N5" s="53">
        <f t="shared" ref="N5:N7" si="0">G5/$G$8</f>
        <v>0.10167834858757245</v>
      </c>
      <c r="O5" s="53">
        <f t="shared" ref="O5:O14" si="1">M5*N5</f>
        <v>2.3661927111431336E-3</v>
      </c>
    </row>
    <row r="6" spans="1:15">
      <c r="A6" s="54" t="s">
        <v>175</v>
      </c>
      <c r="B6" s="52">
        <v>47945.510090052856</v>
      </c>
      <c r="C6">
        <v>7564.1227576970114</v>
      </c>
      <c r="F6" t="s">
        <v>292</v>
      </c>
      <c r="G6">
        <v>3172972.5362309404</v>
      </c>
      <c r="H6">
        <v>1762405.7459936813</v>
      </c>
      <c r="I6" s="5"/>
      <c r="J6" s="5"/>
      <c r="K6" s="5"/>
      <c r="L6" s="5"/>
      <c r="M6" s="53">
        <f>VLOOKUP(F6,'[1]Damodaran CRP by Country'!$A$2:$E$167,3,0)</f>
        <v>3.7600056757887565E-2</v>
      </c>
      <c r="N6" s="53">
        <f t="shared" si="0"/>
        <v>0.10375654222242589</v>
      </c>
      <c r="O6" s="53">
        <f t="shared" si="1"/>
        <v>3.9012518765653712E-3</v>
      </c>
    </row>
    <row r="7" spans="1:15">
      <c r="A7" s="54" t="s">
        <v>176</v>
      </c>
      <c r="B7" s="52">
        <v>1936</v>
      </c>
      <c r="C7">
        <v>917.99623999999994</v>
      </c>
      <c r="F7" t="s">
        <v>336</v>
      </c>
      <c r="G7">
        <v>21949298.074006964</v>
      </c>
      <c r="H7">
        <v>10708723.217603588</v>
      </c>
      <c r="I7" s="5"/>
      <c r="J7" s="5"/>
      <c r="K7" s="5"/>
      <c r="L7" s="5"/>
      <c r="M7" s="53">
        <f>VLOOKUP(F7,'[1]Damodaran CRP by Country'!$A$2:$E$167,3,0)</f>
        <v>1.2240226451323799E-2</v>
      </c>
      <c r="N7" s="53">
        <f t="shared" si="0"/>
        <v>0.71774440098795689</v>
      </c>
      <c r="O7" s="53">
        <f t="shared" si="1"/>
        <v>8.7853540022623453E-3</v>
      </c>
    </row>
    <row r="8" spans="1:15">
      <c r="A8" s="54" t="s">
        <v>177</v>
      </c>
      <c r="B8" s="52">
        <v>66383.287002996891</v>
      </c>
      <c r="C8">
        <v>32984.602137987698</v>
      </c>
      <c r="F8" s="67" t="s">
        <v>25</v>
      </c>
      <c r="G8" s="67">
        <f>SUM(G4:G7)</f>
        <v>30580939.45949883</v>
      </c>
      <c r="H8" s="67">
        <f>SUM(H4:H7)</f>
        <v>14724167.982247636</v>
      </c>
      <c r="I8" s="68">
        <f>H8/G8</f>
        <v>0.4814818721232621</v>
      </c>
      <c r="J8" s="68">
        <f>1-I8</f>
        <v>0.5185181278767379</v>
      </c>
      <c r="K8" s="68">
        <f>AVERAGE('Revenue Prediction'!F16:M16)</f>
        <v>0.54710346798146714</v>
      </c>
      <c r="L8" s="71">
        <f>K8/J8</f>
        <v>1.0551289117350291</v>
      </c>
      <c r="M8" s="73">
        <f>SUM(O4:O7)</f>
        <v>1.686576499182578E-2</v>
      </c>
      <c r="N8" s="53"/>
    </row>
    <row r="9" spans="1:15">
      <c r="A9" s="54" t="s">
        <v>178</v>
      </c>
      <c r="B9" s="52">
        <v>15321.055818326313</v>
      </c>
      <c r="C9">
        <v>8296.9525445932941</v>
      </c>
      <c r="F9" t="s">
        <v>265</v>
      </c>
      <c r="G9">
        <v>6318352.4759793812</v>
      </c>
      <c r="H9">
        <v>1660027.5649683175</v>
      </c>
      <c r="I9" s="5"/>
      <c r="J9" s="5"/>
      <c r="K9" s="5"/>
      <c r="L9" s="13"/>
      <c r="M9" s="53">
        <f>VLOOKUP(F9,'[1]Damodaran CRP by Country'!$A$2:$E$167,3,0)</f>
        <v>5.0924919483002214E-2</v>
      </c>
      <c r="N9" s="53">
        <f>G9/$G$12</f>
        <v>0.17467531068837422</v>
      </c>
      <c r="O9" s="53">
        <f t="shared" si="1"/>
        <v>8.8953261324738533E-3</v>
      </c>
    </row>
    <row r="10" spans="1:15">
      <c r="A10" s="54" t="s">
        <v>179</v>
      </c>
      <c r="B10" s="52">
        <v>78788.828906863448</v>
      </c>
      <c r="C10">
        <v>23882.965562034999</v>
      </c>
      <c r="F10" t="s">
        <v>309</v>
      </c>
      <c r="G10">
        <v>29501020.567791451</v>
      </c>
      <c r="H10">
        <v>3907781.7272118065</v>
      </c>
      <c r="I10" s="5"/>
      <c r="J10" s="5"/>
      <c r="K10" s="5"/>
      <c r="L10" s="13"/>
      <c r="M10" s="53">
        <f>VLOOKUP(F10,'[1]Damodaran CRP by Country'!$A$2:$E$167,3,0)</f>
        <v>3.740329752820759E-3</v>
      </c>
      <c r="N10" s="53">
        <f t="shared" ref="N10:N11" si="2">G10/$G$12</f>
        <v>0.81557652139442083</v>
      </c>
      <c r="O10" s="53">
        <f t="shared" si="1"/>
        <v>3.0505251286736083E-3</v>
      </c>
    </row>
    <row r="11" spans="1:15">
      <c r="A11" s="54" t="s">
        <v>180</v>
      </c>
      <c r="B11" s="52">
        <v>395926.07516300579</v>
      </c>
      <c r="C11">
        <v>79983.635250000007</v>
      </c>
      <c r="F11" t="s">
        <v>245</v>
      </c>
      <c r="G11">
        <v>352610.57016704662</v>
      </c>
      <c r="H11">
        <v>75906.468749437292</v>
      </c>
      <c r="I11" s="5"/>
      <c r="J11" s="5"/>
      <c r="K11" s="5"/>
      <c r="L11" s="13"/>
      <c r="M11" s="53">
        <f>VLOOKUP(F11,'[1]Damodaran CRP by Country'!$A$2:$E$167,3,0)</f>
        <v>8.9534905799997566E-2</v>
      </c>
      <c r="N11" s="53">
        <f t="shared" si="2"/>
        <v>9.7481679172047881E-3</v>
      </c>
      <c r="O11" s="53">
        <f t="shared" si="1"/>
        <v>8.7280129618948915E-4</v>
      </c>
    </row>
    <row r="12" spans="1:15">
      <c r="A12" s="54" t="s">
        <v>181</v>
      </c>
      <c r="B12" s="52">
        <v>163697.92759398237</v>
      </c>
      <c r="C12">
        <v>10451.091805368198</v>
      </c>
      <c r="F12" s="67" t="s">
        <v>26</v>
      </c>
      <c r="G12" s="67">
        <f>SUM(G9:G11)</f>
        <v>36171983.613937885</v>
      </c>
      <c r="H12" s="67">
        <f>SUM(H9:H11)</f>
        <v>5643715.7609295612</v>
      </c>
      <c r="I12" s="69">
        <f>H12/G12</f>
        <v>0.15602450286289829</v>
      </c>
      <c r="J12" s="68">
        <f>1-I12</f>
        <v>0.84397549713710174</v>
      </c>
      <c r="K12" s="69">
        <f>AVERAGE('Revenue Prediction'!F17:M17)</f>
        <v>0.3450262394401864</v>
      </c>
      <c r="L12" s="71">
        <f>K12/J12</f>
        <v>0.40881073041879762</v>
      </c>
      <c r="M12" s="73">
        <f>SUM(O9:O11)</f>
        <v>1.2818652557336951E-2</v>
      </c>
      <c r="N12" s="53"/>
    </row>
    <row r="13" spans="1:15">
      <c r="A13" s="54" t="s">
        <v>182</v>
      </c>
      <c r="B13" s="52">
        <v>20516.134388660783</v>
      </c>
      <c r="C13">
        <v>13621.520024552085</v>
      </c>
      <c r="F13" s="66" t="s">
        <v>226</v>
      </c>
      <c r="G13">
        <v>33158416.550189212</v>
      </c>
      <c r="H13">
        <v>9887824.9178825542</v>
      </c>
      <c r="I13" s="5"/>
      <c r="J13" s="5"/>
      <c r="K13" s="5"/>
      <c r="L13" s="13"/>
      <c r="M13" s="53">
        <f>VLOOKUP(F13,'[1]Damodaran CRP by Country'!$A$2:$E$167,3,0)</f>
        <v>1.7068462953183611E-2</v>
      </c>
      <c r="N13" s="53">
        <f>G13/$G$15</f>
        <v>0.94368614379243876</v>
      </c>
      <c r="O13" s="53">
        <f t="shared" si="1"/>
        <v>1.6107271984753944E-2</v>
      </c>
    </row>
    <row r="14" spans="1:15">
      <c r="A14" s="54" t="s">
        <v>183</v>
      </c>
      <c r="B14" s="52">
        <v>76370.394412416266</v>
      </c>
      <c r="C14">
        <v>29197.465998864747</v>
      </c>
      <c r="F14" s="66" t="s">
        <v>230</v>
      </c>
      <c r="G14" s="70">
        <v>1978706.9185668521</v>
      </c>
      <c r="H14">
        <v>493583.28510033211</v>
      </c>
      <c r="I14" s="5"/>
      <c r="J14" s="5"/>
      <c r="K14" s="5"/>
      <c r="L14" s="13"/>
      <c r="M14" s="53">
        <f>VLOOKUP(F14,'[1]Damodaran CRP by Country'!$A$2:$E$167,3,0)</f>
        <v>4.7586939603825173E-5</v>
      </c>
      <c r="N14" s="53">
        <f>G14/$G$15</f>
        <v>5.6313856207561172E-2</v>
      </c>
      <c r="O14" s="53">
        <f t="shared" si="1"/>
        <v>2.6798040742077089E-6</v>
      </c>
    </row>
    <row r="15" spans="1:15">
      <c r="A15" s="54" t="s">
        <v>184</v>
      </c>
      <c r="B15" s="52">
        <v>107440.57583804752</v>
      </c>
      <c r="C15">
        <v>13865.02944785179</v>
      </c>
      <c r="F15" s="67" t="s">
        <v>24</v>
      </c>
      <c r="G15" s="67">
        <f>SUM(G13:G14)</f>
        <v>35137123.468756065</v>
      </c>
      <c r="H15" s="67">
        <f>SUM(H13:H14)</f>
        <v>10381408.202982886</v>
      </c>
      <c r="I15" s="69">
        <f>H15/G15</f>
        <v>0.2954541287995312</v>
      </c>
      <c r="J15" s="68">
        <f>1-I15</f>
        <v>0.70454587120046885</v>
      </c>
      <c r="K15" s="69">
        <f>AVERAGE('Revenue Prediction'!F18:M18)</f>
        <v>0.10787029257834645</v>
      </c>
      <c r="L15" s="71">
        <f>K15/J15</f>
        <v>0.1531061311800001</v>
      </c>
      <c r="M15" s="73">
        <f>SUM(O13:O14)</f>
        <v>1.6109951788828153E-2</v>
      </c>
    </row>
    <row r="16" spans="1:15">
      <c r="A16" s="54" t="s">
        <v>185</v>
      </c>
      <c r="B16" s="52">
        <v>20904.898296250143</v>
      </c>
      <c r="C16">
        <v>5986.8920014285322</v>
      </c>
    </row>
    <row r="17" spans="1:12">
      <c r="A17" s="54" t="s">
        <v>186</v>
      </c>
      <c r="B17" s="52">
        <v>14397.127281382942</v>
      </c>
      <c r="C17">
        <v>6908.9786796955923</v>
      </c>
    </row>
    <row r="18" spans="1:12">
      <c r="A18" s="54" t="s">
        <v>187</v>
      </c>
      <c r="B18" s="52">
        <v>141109.37320941436</v>
      </c>
      <c r="C18">
        <v>66846.859292691588</v>
      </c>
    </row>
    <row r="19" spans="1:12">
      <c r="A19" s="54" t="s">
        <v>188</v>
      </c>
      <c r="B19" s="52">
        <v>20624.597846549506</v>
      </c>
      <c r="C19">
        <v>9579.5493592050698</v>
      </c>
    </row>
    <row r="20" spans="1:12">
      <c r="A20" s="54" t="s">
        <v>189</v>
      </c>
      <c r="B20" s="52">
        <v>12351.024843746696</v>
      </c>
      <c r="C20">
        <v>5568.7654897554667</v>
      </c>
    </row>
    <row r="21" spans="1:12">
      <c r="A21" s="54" t="s">
        <v>190</v>
      </c>
      <c r="B21" s="52">
        <v>16819.170420565319</v>
      </c>
      <c r="C21">
        <v>6086.7483500784228</v>
      </c>
    </row>
    <row r="22" spans="1:12">
      <c r="A22" s="54" t="s">
        <v>191</v>
      </c>
      <c r="B22" s="52">
        <v>362814.95169607276</v>
      </c>
      <c r="C22">
        <v>64001.155810000004</v>
      </c>
    </row>
    <row r="23" spans="1:12">
      <c r="A23" s="54" t="s">
        <v>192</v>
      </c>
      <c r="B23" s="52">
        <v>14097.76864766952</v>
      </c>
      <c r="C23">
        <v>4392.6526328694472</v>
      </c>
      <c r="F23" s="67"/>
      <c r="G23" s="67"/>
      <c r="H23" s="67"/>
      <c r="I23" s="67"/>
      <c r="J23" s="67"/>
      <c r="K23" s="67"/>
      <c r="L23" s="67"/>
    </row>
    <row r="24" spans="1:12">
      <c r="A24" s="54" t="s">
        <v>193</v>
      </c>
      <c r="B24" s="52">
        <v>31013.986429186058</v>
      </c>
      <c r="C24">
        <v>9053.0821157617029</v>
      </c>
    </row>
    <row r="25" spans="1:12">
      <c r="A25" s="54" t="s">
        <v>194</v>
      </c>
      <c r="B25" s="52">
        <v>377781.60098587308</v>
      </c>
      <c r="C25">
        <v>127482.42100632508</v>
      </c>
    </row>
    <row r="26" spans="1:12">
      <c r="A26" s="54" t="s">
        <v>195</v>
      </c>
      <c r="B26" s="52">
        <v>4597.8558450427581</v>
      </c>
      <c r="C26">
        <v>2137</v>
      </c>
    </row>
    <row r="27" spans="1:12">
      <c r="A27" s="54" t="s">
        <v>196</v>
      </c>
      <c r="B27" s="52">
        <v>79158.286333523982</v>
      </c>
      <c r="C27">
        <v>15622.4276096947</v>
      </c>
    </row>
    <row r="28" spans="1:12">
      <c r="A28" s="54" t="s">
        <v>197</v>
      </c>
      <c r="B28" s="52">
        <v>9171.2618350626417</v>
      </c>
      <c r="C28">
        <v>2420.2084271790627</v>
      </c>
    </row>
    <row r="29" spans="1:12">
      <c r="A29" s="54" t="s">
        <v>198</v>
      </c>
      <c r="B29" s="52">
        <v>48529.595416653261</v>
      </c>
      <c r="C29">
        <v>25869.112802402607</v>
      </c>
    </row>
    <row r="30" spans="1:12">
      <c r="A30" s="54" t="s">
        <v>199</v>
      </c>
      <c r="B30" s="52">
        <v>49272.882213623001</v>
      </c>
      <c r="C30">
        <v>9069.9633136623816</v>
      </c>
    </row>
    <row r="31" spans="1:12">
      <c r="A31" s="54" t="s">
        <v>200</v>
      </c>
      <c r="B31" s="52">
        <v>28162.630953928499</v>
      </c>
      <c r="C31">
        <v>11264.526288270672</v>
      </c>
    </row>
    <row r="32" spans="1:12" s="67" customFormat="1">
      <c r="A32" s="55" t="s">
        <v>201</v>
      </c>
      <c r="B32" s="56">
        <f>SUM(B2:B31)</f>
        <v>2349249.4267625553</v>
      </c>
      <c r="C32" s="67">
        <f>SUM(C2:C31)</f>
        <v>639236.33898934035</v>
      </c>
      <c r="F32"/>
      <c r="G32"/>
      <c r="H32"/>
      <c r="I32"/>
      <c r="J32"/>
      <c r="K32"/>
      <c r="L32"/>
    </row>
    <row r="33" spans="1:12">
      <c r="A33" s="54" t="s">
        <v>202</v>
      </c>
      <c r="B33" s="52">
        <v>437415.33104099432</v>
      </c>
      <c r="C33">
        <v>47087.839406591593</v>
      </c>
    </row>
    <row r="34" spans="1:12">
      <c r="A34" s="54" t="s">
        <v>203</v>
      </c>
      <c r="B34" s="52">
        <v>31772.759998857127</v>
      </c>
      <c r="C34">
        <v>33078.910279641736</v>
      </c>
    </row>
    <row r="35" spans="1:12">
      <c r="A35" s="54" t="s">
        <v>204</v>
      </c>
      <c r="B35" s="52">
        <v>17794781.986104459</v>
      </c>
      <c r="C35">
        <v>3753056.0833537546</v>
      </c>
    </row>
    <row r="36" spans="1:12">
      <c r="A36" s="54" t="s">
        <v>205</v>
      </c>
      <c r="B36" s="52">
        <v>5494.7975407336471</v>
      </c>
      <c r="C36">
        <v>3100.1388811732677</v>
      </c>
    </row>
    <row r="37" spans="1:12">
      <c r="A37" s="54" t="s">
        <v>206</v>
      </c>
      <c r="B37" s="52">
        <v>382054.57429852907</v>
      </c>
      <c r="C37">
        <v>660362.36833000008</v>
      </c>
    </row>
    <row r="38" spans="1:12">
      <c r="A38" s="54" t="s">
        <v>207</v>
      </c>
      <c r="B38" s="52">
        <v>3549918.9187775319</v>
      </c>
      <c r="C38">
        <v>828633.46282249736</v>
      </c>
    </row>
    <row r="39" spans="1:12">
      <c r="A39" s="54" t="s">
        <v>208</v>
      </c>
      <c r="B39" s="52">
        <v>1371171.152331155</v>
      </c>
      <c r="C39">
        <v>309745.61936711014</v>
      </c>
    </row>
    <row r="40" spans="1:12">
      <c r="A40" s="54" t="s">
        <v>209</v>
      </c>
      <c r="B40" s="52">
        <v>4212945.1597814029</v>
      </c>
      <c r="C40">
        <v>920644.08309570537</v>
      </c>
    </row>
    <row r="41" spans="1:12">
      <c r="A41" s="54" t="s">
        <v>210</v>
      </c>
      <c r="B41" s="52">
        <v>1712792.8542023688</v>
      </c>
      <c r="C41">
        <v>570645.70998000004</v>
      </c>
    </row>
    <row r="42" spans="1:12">
      <c r="A42" s="54" t="s">
        <v>211</v>
      </c>
      <c r="B42" s="52">
        <v>15843.155731255179</v>
      </c>
      <c r="C42">
        <v>2218</v>
      </c>
    </row>
    <row r="43" spans="1:12">
      <c r="A43" s="54" t="s">
        <v>212</v>
      </c>
      <c r="B43" s="52">
        <v>47061.843715856485</v>
      </c>
      <c r="C43">
        <v>536.12800000000004</v>
      </c>
    </row>
    <row r="44" spans="1:12">
      <c r="A44" s="54" t="s">
        <v>213</v>
      </c>
      <c r="B44" s="52">
        <v>399648.82854650426</v>
      </c>
      <c r="C44">
        <v>301096.58080419508</v>
      </c>
    </row>
    <row r="45" spans="1:12">
      <c r="A45" s="54" t="s">
        <v>214</v>
      </c>
      <c r="B45" s="52">
        <v>6600</v>
      </c>
      <c r="C45">
        <v>4902.4444078474044</v>
      </c>
    </row>
    <row r="46" spans="1:12">
      <c r="A46" s="54" t="s">
        <v>215</v>
      </c>
      <c r="B46" s="52">
        <v>19872.180369627498</v>
      </c>
      <c r="C46">
        <v>16306.989868192557</v>
      </c>
    </row>
    <row r="47" spans="1:12">
      <c r="A47" s="54" t="s">
        <v>216</v>
      </c>
      <c r="B47" s="52">
        <v>40908.073366845521</v>
      </c>
      <c r="C47">
        <v>3270.8820014617772</v>
      </c>
    </row>
    <row r="48" spans="1:12">
      <c r="A48" s="54" t="s">
        <v>217</v>
      </c>
      <c r="B48" s="52">
        <v>338368.45531787578</v>
      </c>
      <c r="C48">
        <v>38809.744691366825</v>
      </c>
      <c r="F48" s="67"/>
      <c r="G48" s="67"/>
      <c r="H48" s="67"/>
      <c r="I48" s="67"/>
      <c r="J48" s="67"/>
      <c r="K48" s="67"/>
      <c r="L48" s="67"/>
    </row>
    <row r="49" spans="1:12">
      <c r="A49" s="54" t="s">
        <v>218</v>
      </c>
      <c r="B49" s="52">
        <v>30932.496249791653</v>
      </c>
      <c r="C49">
        <v>5582.2876399999996</v>
      </c>
    </row>
    <row r="50" spans="1:12">
      <c r="A50" s="54" t="s">
        <v>219</v>
      </c>
      <c r="B50" s="52">
        <v>437146.37272994244</v>
      </c>
      <c r="C50">
        <v>118974.71724489797</v>
      </c>
    </row>
    <row r="51" spans="1:12">
      <c r="A51" s="54" t="s">
        <v>220</v>
      </c>
      <c r="B51" s="52">
        <v>501427.50008005853</v>
      </c>
      <c r="C51">
        <v>978597.52004328591</v>
      </c>
    </row>
    <row r="52" spans="1:12">
      <c r="A52" s="54" t="s">
        <v>221</v>
      </c>
      <c r="B52" s="52">
        <v>1631.2867011151561</v>
      </c>
      <c r="C52">
        <v>411.74520990606499</v>
      </c>
      <c r="F52" s="67"/>
      <c r="G52" s="67"/>
      <c r="H52" s="67"/>
      <c r="I52" s="67"/>
      <c r="J52" s="67"/>
      <c r="K52" s="67"/>
      <c r="L52" s="67"/>
    </row>
    <row r="53" spans="1:12">
      <c r="A53" s="54" t="s">
        <v>222</v>
      </c>
      <c r="B53" s="52">
        <v>84356.860421129953</v>
      </c>
      <c r="C53">
        <v>19680.136462109182</v>
      </c>
    </row>
    <row r="54" spans="1:12">
      <c r="A54" s="54" t="s">
        <v>223</v>
      </c>
      <c r="B54" s="52">
        <v>791610</v>
      </c>
      <c r="C54">
        <v>536128</v>
      </c>
    </row>
    <row r="55" spans="1:12">
      <c r="A55" s="54" t="s">
        <v>224</v>
      </c>
      <c r="B55" s="52">
        <v>514944.99383357755</v>
      </c>
      <c r="C55">
        <v>368824.20232281619</v>
      </c>
    </row>
    <row r="56" spans="1:12">
      <c r="A56" s="54" t="s">
        <v>225</v>
      </c>
      <c r="B56" s="52">
        <v>429716.96904959279</v>
      </c>
      <c r="C56">
        <v>366131.32367000001</v>
      </c>
    </row>
    <row r="57" spans="1:12" s="67" customFormat="1">
      <c r="A57" s="55" t="s">
        <v>226</v>
      </c>
      <c r="B57" s="56">
        <f>SUM(B33:B56)</f>
        <v>33158416.550189212</v>
      </c>
      <c r="C57" s="67">
        <f>SUM(C33:C56)</f>
        <v>9887824.9178825542</v>
      </c>
      <c r="F57"/>
      <c r="G57"/>
      <c r="H57"/>
      <c r="I57"/>
      <c r="J57"/>
      <c r="K57"/>
      <c r="L57"/>
    </row>
    <row r="58" spans="1:12">
      <c r="A58" s="54" t="s">
        <v>227</v>
      </c>
      <c r="B58" s="52">
        <v>1723827.2153347062</v>
      </c>
      <c r="C58">
        <v>432883.02404344786</v>
      </c>
    </row>
    <row r="59" spans="1:12">
      <c r="A59" s="54" t="s">
        <v>228</v>
      </c>
      <c r="B59" s="52">
        <v>1414</v>
      </c>
      <c r="C59">
        <v>180.74332000000001</v>
      </c>
    </row>
    <row r="60" spans="1:12">
      <c r="A60" s="54" t="s">
        <v>229</v>
      </c>
      <c r="B60" s="52">
        <v>253465.70323214593</v>
      </c>
      <c r="C60">
        <v>60519.517736884249</v>
      </c>
    </row>
    <row r="61" spans="1:12" s="67" customFormat="1">
      <c r="A61" s="55" t="s">
        <v>230</v>
      </c>
      <c r="B61" s="56">
        <f>SUM(B58:B60)</f>
        <v>1978706.9185668521</v>
      </c>
      <c r="C61" s="67">
        <f>SUM(C58:C60)</f>
        <v>493583.28510033211</v>
      </c>
      <c r="F61"/>
      <c r="G61"/>
      <c r="H61"/>
      <c r="I61"/>
      <c r="J61"/>
      <c r="K61"/>
      <c r="L61"/>
    </row>
    <row r="62" spans="1:12">
      <c r="A62" s="54" t="s">
        <v>231</v>
      </c>
      <c r="B62" s="52">
        <v>3544.7077880566426</v>
      </c>
      <c r="C62">
        <v>3223.2876536312847</v>
      </c>
    </row>
    <row r="63" spans="1:12">
      <c r="A63" s="54" t="s">
        <v>232</v>
      </c>
      <c r="B63" s="52">
        <v>11210</v>
      </c>
      <c r="C63">
        <v>689</v>
      </c>
    </row>
    <row r="64" spans="1:12">
      <c r="A64" s="54" t="s">
        <v>233</v>
      </c>
      <c r="B64" s="52">
        <v>6393.5641896134503</v>
      </c>
      <c r="C64">
        <v>1707.2403300000001</v>
      </c>
    </row>
    <row r="65" spans="1:12">
      <c r="A65" s="54" t="s">
        <v>234</v>
      </c>
      <c r="B65" s="52">
        <v>7827.98</v>
      </c>
      <c r="C65">
        <v>5056.8</v>
      </c>
    </row>
    <row r="66" spans="1:12">
      <c r="A66" s="54" t="s">
        <v>235</v>
      </c>
      <c r="B66" s="52">
        <v>6600.8440015372053</v>
      </c>
      <c r="C66">
        <v>3372.4934899739601</v>
      </c>
    </row>
    <row r="67" spans="1:12">
      <c r="A67" s="54" t="s">
        <v>236</v>
      </c>
      <c r="B67" s="52">
        <v>107351</v>
      </c>
      <c r="C67">
        <v>8768.5</v>
      </c>
      <c r="F67" s="67"/>
      <c r="G67" s="67"/>
      <c r="H67" s="67"/>
      <c r="I67" s="67"/>
      <c r="J67" s="67"/>
      <c r="K67" s="67"/>
      <c r="L67" s="67"/>
    </row>
    <row r="68" spans="1:12">
      <c r="A68" s="54" t="s">
        <v>237</v>
      </c>
      <c r="B68" s="52">
        <v>3073.8403254328496</v>
      </c>
      <c r="C68">
        <v>8843.8084799999997</v>
      </c>
    </row>
    <row r="69" spans="1:12">
      <c r="A69" s="54" t="s">
        <v>238</v>
      </c>
      <c r="B69" s="52">
        <v>121444.27931393079</v>
      </c>
      <c r="C69">
        <v>28296.491455832052</v>
      </c>
    </row>
    <row r="70" spans="1:12">
      <c r="A70" s="54" t="s">
        <v>239</v>
      </c>
      <c r="B70" s="52">
        <v>19423.355367237178</v>
      </c>
      <c r="C70">
        <v>6642.9218899999996</v>
      </c>
    </row>
    <row r="71" spans="1:12">
      <c r="A71" s="54" t="s">
        <v>240</v>
      </c>
      <c r="B71" s="52">
        <v>16199</v>
      </c>
      <c r="C71">
        <v>22.085240000000002</v>
      </c>
    </row>
    <row r="72" spans="1:12">
      <c r="A72" s="54" t="s">
        <v>241</v>
      </c>
      <c r="B72" s="52">
        <v>11900</v>
      </c>
      <c r="C72">
        <v>903.65512000000001</v>
      </c>
    </row>
    <row r="73" spans="1:12">
      <c r="A73" s="54" t="s">
        <v>242</v>
      </c>
      <c r="B73" s="52">
        <v>8100</v>
      </c>
      <c r="C73">
        <v>373.80659000000003</v>
      </c>
    </row>
    <row r="74" spans="1:12">
      <c r="A74" s="54" t="s">
        <v>243</v>
      </c>
      <c r="B74" s="52">
        <v>28139.944790291105</v>
      </c>
      <c r="C74">
        <v>7324.2251999999999</v>
      </c>
    </row>
    <row r="75" spans="1:12">
      <c r="A75" s="54" t="s">
        <v>244</v>
      </c>
      <c r="B75" s="52">
        <v>1402.0543909473399</v>
      </c>
      <c r="C75">
        <v>682.15330000000006</v>
      </c>
    </row>
    <row r="76" spans="1:12" s="67" customFormat="1">
      <c r="A76" s="55" t="s">
        <v>245</v>
      </c>
      <c r="B76" s="56">
        <f>SUM(B62:B75)</f>
        <v>352610.57016704662</v>
      </c>
      <c r="C76" s="67">
        <f>SUM(C62:C75)</f>
        <v>75906.468749437292</v>
      </c>
      <c r="F76"/>
      <c r="G76"/>
      <c r="H76"/>
      <c r="I76"/>
      <c r="J76"/>
      <c r="K76"/>
      <c r="L76"/>
    </row>
    <row r="77" spans="1:12">
      <c r="A77" s="54" t="s">
        <v>246</v>
      </c>
      <c r="B77" s="52">
        <v>640591.41066388343</v>
      </c>
      <c r="C77">
        <v>97106.594824145315</v>
      </c>
    </row>
    <row r="78" spans="1:12">
      <c r="A78" s="54" t="s">
        <v>247</v>
      </c>
      <c r="B78" s="52">
        <v>3281.5</v>
      </c>
      <c r="C78">
        <v>1695.7253000000001</v>
      </c>
    </row>
    <row r="79" spans="1:12">
      <c r="A79" s="54" t="s">
        <v>248</v>
      </c>
      <c r="B79" s="52">
        <v>45849.832906413896</v>
      </c>
      <c r="C79">
        <v>11524.078060781476</v>
      </c>
    </row>
    <row r="80" spans="1:12">
      <c r="A80" s="54" t="s">
        <v>249</v>
      </c>
      <c r="B80" s="52">
        <v>2173665.6559372735</v>
      </c>
      <c r="C80">
        <v>392614.11187924881</v>
      </c>
    </row>
    <row r="81" spans="1:12">
      <c r="A81" s="54" t="s">
        <v>250</v>
      </c>
      <c r="B81" s="52">
        <v>335533.33166921913</v>
      </c>
      <c r="C81">
        <v>111377.04747018041</v>
      </c>
    </row>
    <row r="82" spans="1:12">
      <c r="A82" s="54" t="s">
        <v>251</v>
      </c>
      <c r="B82" s="52">
        <v>363540.15623486834</v>
      </c>
      <c r="C82">
        <v>66852.963831431567</v>
      </c>
    </row>
    <row r="83" spans="1:12">
      <c r="A83" s="54" t="s">
        <v>252</v>
      </c>
      <c r="B83" s="52">
        <v>86497.941439017435</v>
      </c>
      <c r="C83">
        <v>36740.228685067726</v>
      </c>
    </row>
    <row r="84" spans="1:12">
      <c r="A84" s="54" t="s">
        <v>253</v>
      </c>
      <c r="B84" s="52">
        <v>118844.826</v>
      </c>
      <c r="C84">
        <v>37750.1708</v>
      </c>
    </row>
    <row r="85" spans="1:12">
      <c r="A85" s="54" t="s">
        <v>254</v>
      </c>
      <c r="B85" s="52">
        <v>34015.620000000003</v>
      </c>
      <c r="C85">
        <v>11585.81</v>
      </c>
    </row>
    <row r="86" spans="1:12">
      <c r="A86" s="54" t="s">
        <v>255</v>
      </c>
      <c r="B86" s="52">
        <v>102050.47386363636</v>
      </c>
      <c r="C86">
        <v>17990.66445250381</v>
      </c>
    </row>
    <row r="87" spans="1:12">
      <c r="A87" s="54" t="s">
        <v>256</v>
      </c>
      <c r="B87" s="52">
        <v>34400.509852043651</v>
      </c>
      <c r="C87">
        <v>12444.557870667382</v>
      </c>
      <c r="F87" s="67"/>
      <c r="G87" s="67"/>
      <c r="H87" s="67"/>
      <c r="I87" s="67"/>
      <c r="J87" s="67"/>
      <c r="K87" s="67"/>
      <c r="L87" s="67"/>
    </row>
    <row r="88" spans="1:12">
      <c r="A88" s="54" t="s">
        <v>257</v>
      </c>
      <c r="B88" s="52">
        <v>1788886.8210468132</v>
      </c>
      <c r="C88">
        <v>681537.89890093659</v>
      </c>
    </row>
    <row r="89" spans="1:12">
      <c r="A89" s="54" t="s">
        <v>258</v>
      </c>
      <c r="B89" s="52">
        <v>17829.215283799655</v>
      </c>
      <c r="C89">
        <v>7968.7886348681068</v>
      </c>
    </row>
    <row r="90" spans="1:12">
      <c r="A90" s="54" t="s">
        <v>259</v>
      </c>
      <c r="B90" s="52">
        <v>83382.399999999994</v>
      </c>
      <c r="C90">
        <v>38716.618600000002</v>
      </c>
    </row>
    <row r="91" spans="1:12">
      <c r="A91" s="54" t="s">
        <v>260</v>
      </c>
      <c r="B91" s="52">
        <v>42956.263543948167</v>
      </c>
      <c r="C91">
        <v>16539.16759414996</v>
      </c>
    </row>
    <row r="92" spans="1:12">
      <c r="A92" s="54" t="s">
        <v>261</v>
      </c>
      <c r="B92" s="52">
        <v>267603.24865525268</v>
      </c>
      <c r="C92">
        <v>82536.982274135153</v>
      </c>
    </row>
    <row r="93" spans="1:12">
      <c r="A93" s="54" t="s">
        <v>262</v>
      </c>
      <c r="B93" s="52">
        <v>3782.4372960432288</v>
      </c>
      <c r="C93">
        <v>1735.6087500000001</v>
      </c>
    </row>
    <row r="94" spans="1:12">
      <c r="A94" s="54" t="s">
        <v>263</v>
      </c>
      <c r="B94" s="52">
        <v>77240.831587166962</v>
      </c>
      <c r="C94">
        <v>23285.155540201678</v>
      </c>
    </row>
    <row r="95" spans="1:12">
      <c r="A95" s="54" t="s">
        <v>264</v>
      </c>
      <c r="B95" s="52">
        <v>98400</v>
      </c>
      <c r="C95">
        <v>10025.3915</v>
      </c>
    </row>
    <row r="96" spans="1:12" s="67" customFormat="1">
      <c r="A96" s="55" t="s">
        <v>265</v>
      </c>
      <c r="B96" s="56">
        <f>SUM(B77:B95)</f>
        <v>6318352.4759793812</v>
      </c>
      <c r="C96" s="67">
        <f>SUM(C77:C95)</f>
        <v>1660027.5649683175</v>
      </c>
      <c r="F96"/>
      <c r="G96"/>
      <c r="H96"/>
      <c r="I96"/>
      <c r="J96"/>
      <c r="K96"/>
      <c r="L96"/>
    </row>
    <row r="97" spans="1:3">
      <c r="A97" s="54" t="s">
        <v>266</v>
      </c>
      <c r="B97" s="52">
        <v>22977.677860797856</v>
      </c>
      <c r="C97">
        <v>9813.7613137470798</v>
      </c>
    </row>
    <row r="98" spans="1:3">
      <c r="A98" s="54" t="s">
        <v>267</v>
      </c>
      <c r="B98" s="52">
        <v>24212.134631064004</v>
      </c>
      <c r="C98">
        <v>19687.315203829603</v>
      </c>
    </row>
    <row r="99" spans="1:3">
      <c r="A99" s="54" t="s">
        <v>268</v>
      </c>
      <c r="B99" s="52">
        <v>72356.176470588238</v>
      </c>
      <c r="C99">
        <v>34112.882352941175</v>
      </c>
    </row>
    <row r="100" spans="1:3">
      <c r="A100" s="54" t="s">
        <v>269</v>
      </c>
      <c r="B100" s="52">
        <v>71857.382745606592</v>
      </c>
      <c r="C100">
        <v>49423.786393411108</v>
      </c>
    </row>
    <row r="101" spans="1:3">
      <c r="A101" s="54" t="s">
        <v>270</v>
      </c>
      <c r="B101" s="52">
        <v>27054.889362885206</v>
      </c>
      <c r="C101">
        <v>12136.912441274555</v>
      </c>
    </row>
    <row r="102" spans="1:3">
      <c r="A102" s="54" t="s">
        <v>271</v>
      </c>
      <c r="B102" s="52">
        <v>101584.38467278588</v>
      </c>
      <c r="C102">
        <v>62622.308254814307</v>
      </c>
    </row>
    <row r="103" spans="1:3">
      <c r="A103" s="54" t="s">
        <v>272</v>
      </c>
      <c r="B103" s="52">
        <v>82688.842717392588</v>
      </c>
      <c r="C103">
        <v>46077.395486176123</v>
      </c>
    </row>
    <row r="104" spans="1:3">
      <c r="A104" s="54" t="s">
        <v>273</v>
      </c>
      <c r="B104" s="52">
        <v>330858.33987168607</v>
      </c>
      <c r="C104">
        <v>196747.31365999999</v>
      </c>
    </row>
    <row r="105" spans="1:3">
      <c r="A105" s="54" t="s">
        <v>274</v>
      </c>
      <c r="B105" s="52">
        <v>40744.848827953661</v>
      </c>
      <c r="C105">
        <v>32617.706441895305</v>
      </c>
    </row>
    <row r="106" spans="1:3">
      <c r="A106" s="54" t="s">
        <v>275</v>
      </c>
      <c r="B106" s="52">
        <v>30535.530479022662</v>
      </c>
      <c r="C106">
        <v>16335.736848914878</v>
      </c>
    </row>
    <row r="107" spans="1:3">
      <c r="A107" s="54" t="s">
        <v>276</v>
      </c>
      <c r="B107" s="52">
        <v>212388.90645872394</v>
      </c>
      <c r="C107">
        <v>166429.20044026276</v>
      </c>
    </row>
    <row r="108" spans="1:3">
      <c r="A108" s="54" t="s">
        <v>277</v>
      </c>
      <c r="B108" s="52">
        <v>261421.12108557209</v>
      </c>
      <c r="C108">
        <v>90360.130435259169</v>
      </c>
    </row>
    <row r="109" spans="1:3">
      <c r="A109" s="54" t="s">
        <v>278</v>
      </c>
      <c r="B109" s="52">
        <v>13987.627908838138</v>
      </c>
      <c r="C109">
        <v>17425.807570000001</v>
      </c>
    </row>
    <row r="110" spans="1:3">
      <c r="A110" s="54" t="s">
        <v>279</v>
      </c>
      <c r="B110" s="52">
        <v>43627.078481287048</v>
      </c>
      <c r="C110">
        <v>28123.865140792965</v>
      </c>
    </row>
    <row r="111" spans="1:3">
      <c r="A111" s="54" t="s">
        <v>280</v>
      </c>
      <c r="B111" s="52">
        <v>77836.396962771963</v>
      </c>
      <c r="C111">
        <v>62899.954052085923</v>
      </c>
    </row>
    <row r="112" spans="1:3">
      <c r="A112" s="54" t="s">
        <v>281</v>
      </c>
      <c r="B112" s="52">
        <v>14761.237042205697</v>
      </c>
      <c r="C112">
        <v>8420</v>
      </c>
    </row>
    <row r="113" spans="1:12">
      <c r="A113" s="54" t="s">
        <v>282</v>
      </c>
      <c r="B113" s="52">
        <v>16539.436547294972</v>
      </c>
      <c r="C113">
        <v>5717.372649197946</v>
      </c>
    </row>
    <row r="114" spans="1:12">
      <c r="A114" s="54" t="s">
        <v>283</v>
      </c>
      <c r="B114" s="52">
        <v>7404.5419645077918</v>
      </c>
      <c r="C114">
        <v>3621.0626298861812</v>
      </c>
      <c r="F114" s="67"/>
      <c r="G114" s="67"/>
      <c r="H114" s="67"/>
      <c r="I114" s="67"/>
      <c r="J114" s="67"/>
      <c r="K114" s="67"/>
      <c r="L114" s="67"/>
    </row>
    <row r="115" spans="1:12">
      <c r="A115" s="54" t="s">
        <v>284</v>
      </c>
      <c r="B115" s="52">
        <v>811229.10068756633</v>
      </c>
      <c r="C115">
        <v>478651.05935189128</v>
      </c>
    </row>
    <row r="116" spans="1:12">
      <c r="A116" s="54" t="s">
        <v>285</v>
      </c>
      <c r="B116" s="52">
        <v>351002.57962967013</v>
      </c>
      <c r="C116">
        <v>136250.6958942241</v>
      </c>
    </row>
    <row r="117" spans="1:12">
      <c r="A117" s="54" t="s">
        <v>286</v>
      </c>
      <c r="B117" s="52">
        <v>75187.125426737548</v>
      </c>
      <c r="C117">
        <v>46940.372435314493</v>
      </c>
    </row>
    <row r="118" spans="1:12">
      <c r="A118" s="54" t="s">
        <v>287</v>
      </c>
      <c r="B118" s="52">
        <v>132793.62228307096</v>
      </c>
      <c r="C118">
        <v>94515.52429999999</v>
      </c>
    </row>
    <row r="119" spans="1:12">
      <c r="A119" s="54" t="s">
        <v>288</v>
      </c>
      <c r="B119" s="52">
        <v>68216.781410522774</v>
      </c>
      <c r="C119">
        <v>59100.412196946083</v>
      </c>
    </row>
    <row r="120" spans="1:12">
      <c r="A120" s="54" t="s">
        <v>289</v>
      </c>
      <c r="B120" s="52">
        <v>12060.602008847782</v>
      </c>
      <c r="C120">
        <v>2104.9976831627018</v>
      </c>
    </row>
    <row r="121" spans="1:12">
      <c r="A121" s="54" t="s">
        <v>290</v>
      </c>
      <c r="B121" s="52">
        <v>178757.02138680895</v>
      </c>
      <c r="C121">
        <v>56097.413814127722</v>
      </c>
    </row>
    <row r="122" spans="1:12">
      <c r="A122" s="54" t="s">
        <v>291</v>
      </c>
      <c r="B122" s="52">
        <v>90889.149306731269</v>
      </c>
      <c r="C122">
        <v>26172.759003525833</v>
      </c>
    </row>
    <row r="123" spans="1:12" s="67" customFormat="1">
      <c r="A123" s="55" t="s">
        <v>292</v>
      </c>
      <c r="B123" s="56">
        <f>SUM(B97:B122)</f>
        <v>3172972.5362309404</v>
      </c>
      <c r="C123" s="67">
        <f>SUM(C97:C122)</f>
        <v>1762405.7459936813</v>
      </c>
      <c r="F123"/>
      <c r="G123"/>
      <c r="H123"/>
      <c r="I123"/>
      <c r="J123"/>
      <c r="K123"/>
      <c r="L123"/>
    </row>
    <row r="124" spans="1:12">
      <c r="A124" s="54" t="s">
        <v>293</v>
      </c>
      <c r="B124" s="52">
        <v>310000</v>
      </c>
      <c r="C124">
        <v>29360</v>
      </c>
    </row>
    <row r="125" spans="1:12">
      <c r="A125" s="54" t="s">
        <v>294</v>
      </c>
      <c r="B125" s="52">
        <v>43205</v>
      </c>
      <c r="C125">
        <v>40349.468085106382</v>
      </c>
    </row>
    <row r="126" spans="1:12">
      <c r="A126" s="54" t="s">
        <v>295</v>
      </c>
      <c r="B126" s="52">
        <v>250842.78213946417</v>
      </c>
      <c r="C126">
        <v>104886.42720969229</v>
      </c>
      <c r="F126" s="67"/>
      <c r="G126" s="67"/>
      <c r="H126" s="67"/>
      <c r="I126" s="67"/>
      <c r="J126" s="67"/>
      <c r="K126" s="67"/>
      <c r="L126" s="67"/>
    </row>
    <row r="127" spans="1:12">
      <c r="A127" s="54" t="s">
        <v>296</v>
      </c>
      <c r="B127" s="52">
        <v>509901.49570210325</v>
      </c>
      <c r="C127">
        <v>153655.74227893894</v>
      </c>
    </row>
    <row r="128" spans="1:12">
      <c r="A128" s="54" t="s">
        <v>297</v>
      </c>
      <c r="B128" s="52">
        <v>50813.642348674643</v>
      </c>
      <c r="C128">
        <v>22734.507042253521</v>
      </c>
    </row>
    <row r="129" spans="1:12">
      <c r="A129" s="54" t="s">
        <v>298</v>
      </c>
      <c r="B129" s="52">
        <v>11000</v>
      </c>
      <c r="C129">
        <v>110924.40816326531</v>
      </c>
      <c r="F129" s="67"/>
      <c r="G129" s="67"/>
      <c r="H129" s="67"/>
      <c r="I129" s="67"/>
      <c r="J129" s="67"/>
      <c r="K129" s="67"/>
      <c r="L129" s="67"/>
    </row>
    <row r="130" spans="1:12">
      <c r="A130" s="54" t="s">
        <v>299</v>
      </c>
      <c r="B130" s="52">
        <v>17937.256175140981</v>
      </c>
      <c r="C130">
        <v>6134.3020226499511</v>
      </c>
    </row>
    <row r="131" spans="1:12">
      <c r="A131" s="54" t="s">
        <v>300</v>
      </c>
      <c r="B131" s="52">
        <v>108192.45773732119</v>
      </c>
      <c r="C131">
        <v>64749.024707412224</v>
      </c>
    </row>
    <row r="132" spans="1:12">
      <c r="A132" s="54" t="s">
        <v>301</v>
      </c>
      <c r="B132" s="52">
        <v>235770.4037349</v>
      </c>
      <c r="C132">
        <v>161692.85714285716</v>
      </c>
    </row>
    <row r="133" spans="1:12">
      <c r="A133" s="54" t="s">
        <v>303</v>
      </c>
      <c r="B133" s="52">
        <v>1067582.9333333333</v>
      </c>
      <c r="C133">
        <v>360914.4</v>
      </c>
    </row>
    <row r="134" spans="1:12">
      <c r="A134" s="54" t="s">
        <v>305</v>
      </c>
      <c r="B134" s="52">
        <v>504173.45132743364</v>
      </c>
      <c r="C134">
        <v>558401.54300884961</v>
      </c>
    </row>
    <row r="135" spans="1:12" s="67" customFormat="1">
      <c r="A135" s="55" t="s">
        <v>306</v>
      </c>
      <c r="B135" s="56">
        <f>SUM(B124:B134)</f>
        <v>3109419.4224983715</v>
      </c>
      <c r="C135" s="67">
        <f>SUM(C124:C134)</f>
        <v>1613802.6796610253</v>
      </c>
      <c r="F135"/>
      <c r="G135"/>
      <c r="H135"/>
      <c r="I135"/>
      <c r="J135"/>
      <c r="K135"/>
      <c r="L135"/>
    </row>
    <row r="136" spans="1:12">
      <c r="A136" s="54" t="s">
        <v>307</v>
      </c>
      <c r="B136" s="52">
        <v>2140085.5677914512</v>
      </c>
      <c r="C136">
        <v>727540.72721180634</v>
      </c>
    </row>
    <row r="137" spans="1:12">
      <c r="A137" s="54" t="s">
        <v>308</v>
      </c>
      <c r="B137" s="52">
        <v>27360935</v>
      </c>
      <c r="C137">
        <v>3180241</v>
      </c>
    </row>
    <row r="138" spans="1:12" s="67" customFormat="1">
      <c r="A138" s="55" t="s">
        <v>309</v>
      </c>
      <c r="B138" s="56">
        <f>SUM(B136:B137)</f>
        <v>29501020.567791451</v>
      </c>
      <c r="C138" s="67">
        <f>SUM(C136:C137)</f>
        <v>3907781.7272118065</v>
      </c>
      <c r="F138"/>
      <c r="G138"/>
      <c r="H138"/>
      <c r="I138"/>
      <c r="J138"/>
      <c r="K138"/>
      <c r="L138"/>
    </row>
    <row r="139" spans="1:12">
      <c r="A139" s="54" t="s">
        <v>310</v>
      </c>
      <c r="B139" s="52">
        <v>3352</v>
      </c>
      <c r="C139">
        <v>1856.2594299999998</v>
      </c>
    </row>
    <row r="140" spans="1:12">
      <c r="A140" s="54" t="s">
        <v>311</v>
      </c>
      <c r="B140" s="52">
        <v>516034.14411595033</v>
      </c>
      <c r="C140">
        <v>296936.81799174525</v>
      </c>
    </row>
    <row r="141" spans="1:12">
      <c r="A141" s="54" t="s">
        <v>312</v>
      </c>
      <c r="B141" s="52">
        <v>632216.57707510924</v>
      </c>
      <c r="C141">
        <v>526467.15404882806</v>
      </c>
    </row>
    <row r="142" spans="1:12">
      <c r="A142" s="54" t="s">
        <v>313</v>
      </c>
      <c r="B142" s="52">
        <v>32229.622669195112</v>
      </c>
      <c r="C142">
        <v>35130.903029581445</v>
      </c>
    </row>
    <row r="143" spans="1:12">
      <c r="A143" s="54" t="s">
        <v>314</v>
      </c>
      <c r="B143" s="52">
        <v>404198.75753797416</v>
      </c>
      <c r="C143">
        <v>299447.62400972005</v>
      </c>
    </row>
    <row r="144" spans="1:12">
      <c r="A144" s="54" t="s">
        <v>315</v>
      </c>
      <c r="B144" s="52">
        <v>300187.20269608375</v>
      </c>
      <c r="C144">
        <v>124585.23909453122</v>
      </c>
    </row>
    <row r="145" spans="1:12">
      <c r="A145" s="54" t="s">
        <v>316</v>
      </c>
      <c r="B145" s="52">
        <v>3030904.0896078963</v>
      </c>
      <c r="C145">
        <v>1051204.231156406</v>
      </c>
    </row>
    <row r="146" spans="1:12">
      <c r="A146" s="54" t="s">
        <v>317</v>
      </c>
      <c r="B146" s="52">
        <v>4456081.016705961</v>
      </c>
      <c r="C146">
        <v>1961842.7415015621</v>
      </c>
    </row>
    <row r="147" spans="1:12">
      <c r="A147" s="54" t="s">
        <v>318</v>
      </c>
      <c r="B147" s="52">
        <v>238206.31263252773</v>
      </c>
      <c r="C147">
        <v>107947.85958894763</v>
      </c>
    </row>
    <row r="148" spans="1:12">
      <c r="A148" s="54" t="s">
        <v>320</v>
      </c>
      <c r="B148" s="52">
        <v>31020.032583197215</v>
      </c>
      <c r="C148">
        <v>13916.763090710108</v>
      </c>
    </row>
    <row r="149" spans="1:12">
      <c r="A149" s="54" t="s">
        <v>321</v>
      </c>
      <c r="B149" s="52">
        <v>545629.45040373516</v>
      </c>
      <c r="C149">
        <v>852093.09198070306</v>
      </c>
    </row>
    <row r="150" spans="1:12">
      <c r="A150" s="54" t="s">
        <v>323</v>
      </c>
      <c r="B150" s="52">
        <v>2254851.2127318047</v>
      </c>
      <c r="C150">
        <v>776676.93396398425</v>
      </c>
    </row>
    <row r="151" spans="1:12">
      <c r="A151" s="54" t="s">
        <v>326</v>
      </c>
      <c r="B151" s="52">
        <v>85755.006123597588</v>
      </c>
      <c r="C151">
        <v>200842.48574924291</v>
      </c>
    </row>
    <row r="152" spans="1:12">
      <c r="A152" s="54" t="s">
        <v>327</v>
      </c>
      <c r="B152" s="52">
        <v>20956.999452431664</v>
      </c>
      <c r="C152">
        <v>30029.427942720456</v>
      </c>
      <c r="F152" s="67"/>
      <c r="G152" s="67"/>
      <c r="H152" s="67"/>
      <c r="I152" s="67"/>
      <c r="J152" s="67"/>
      <c r="K152" s="67"/>
      <c r="L152" s="67"/>
    </row>
    <row r="153" spans="1:12">
      <c r="A153" s="54" t="s">
        <v>328</v>
      </c>
      <c r="B153" s="52">
        <v>1118124.7498862941</v>
      </c>
      <c r="C153">
        <v>1032789.0428132811</v>
      </c>
    </row>
    <row r="154" spans="1:12">
      <c r="A154" s="54" t="s">
        <v>329</v>
      </c>
      <c r="B154" s="52">
        <v>485513.31650363043</v>
      </c>
      <c r="C154">
        <v>230048.79410624344</v>
      </c>
    </row>
    <row r="155" spans="1:12">
      <c r="A155" s="54" t="s">
        <v>330</v>
      </c>
      <c r="B155" s="52">
        <v>287080.01357449719</v>
      </c>
      <c r="C155">
        <v>143474.9267994492</v>
      </c>
    </row>
    <row r="156" spans="1:12">
      <c r="A156" s="54" t="s">
        <v>331</v>
      </c>
      <c r="B156" s="52">
        <v>1580694.7125157141</v>
      </c>
      <c r="C156">
        <v>642459.91579218733</v>
      </c>
    </row>
    <row r="157" spans="1:12">
      <c r="A157" s="54" t="s">
        <v>332</v>
      </c>
      <c r="B157" s="52">
        <v>593267.70103340817</v>
      </c>
      <c r="C157">
        <v>333132.29706828587</v>
      </c>
    </row>
    <row r="158" spans="1:12">
      <c r="A158" s="54" t="s">
        <v>333</v>
      </c>
      <c r="B158" s="52">
        <v>884940.40223040886</v>
      </c>
      <c r="C158">
        <v>675814.84237536346</v>
      </c>
    </row>
    <row r="159" spans="1:12">
      <c r="A159" s="54" t="s">
        <v>334</v>
      </c>
      <c r="B159" s="52">
        <v>1108022.3732595111</v>
      </c>
      <c r="C159">
        <v>255638.18462000001</v>
      </c>
    </row>
    <row r="160" spans="1:12">
      <c r="A160" s="54" t="s">
        <v>335</v>
      </c>
      <c r="B160" s="52">
        <v>3340032.3806680357</v>
      </c>
      <c r="C160">
        <v>1116387.6814500943</v>
      </c>
    </row>
    <row r="161" spans="1:12" s="67" customFormat="1">
      <c r="A161" s="55" t="s">
        <v>336</v>
      </c>
      <c r="B161" s="56">
        <f>SUM(B139:B160)</f>
        <v>21949298.074006964</v>
      </c>
      <c r="C161" s="67">
        <f>SUM(C139:C160)</f>
        <v>10708723.217603588</v>
      </c>
      <c r="F161"/>
      <c r="G161"/>
      <c r="H161"/>
      <c r="I161"/>
      <c r="J161"/>
      <c r="K161"/>
      <c r="L16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97ED-5F7F-0146-8A9C-79E7DF1380A7}">
  <dimension ref="A1:E198"/>
  <sheetViews>
    <sheetView workbookViewId="0">
      <selection activeCell="A74" sqref="A74"/>
    </sheetView>
  </sheetViews>
  <sheetFormatPr baseColWidth="10" defaultColWidth="8.83203125" defaultRowHeight="16"/>
  <cols>
    <col min="1" max="1" width="21.83203125" bestFit="1" customWidth="1"/>
    <col min="2" max="2" width="18.5" style="65" bestFit="1" customWidth="1"/>
    <col min="3" max="3" width="19.83203125" bestFit="1" customWidth="1"/>
    <col min="4" max="4" width="11.33203125" style="53" bestFit="1" customWidth="1"/>
    <col min="5" max="5" width="21.5" bestFit="1" customWidth="1"/>
  </cols>
  <sheetData>
    <row r="1" spans="1:5">
      <c r="A1" s="147" t="s">
        <v>168</v>
      </c>
      <c r="B1" s="148" t="s">
        <v>451</v>
      </c>
      <c r="C1" s="149" t="s">
        <v>169</v>
      </c>
      <c r="D1" s="150" t="s">
        <v>170</v>
      </c>
    </row>
    <row r="2" spans="1:5">
      <c r="A2" s="54" t="s">
        <v>171</v>
      </c>
      <c r="B2" s="52">
        <v>84722.957642375652</v>
      </c>
      <c r="C2" s="53">
        <v>3.2513421250650362E-2</v>
      </c>
      <c r="D2" s="53">
        <v>3.6063840934561955E-2</v>
      </c>
      <c r="E2" s="53">
        <f>D2*C2</f>
        <v>1.1725588522218612E-3</v>
      </c>
    </row>
    <row r="3" spans="1:5">
      <c r="A3" s="54" t="s">
        <v>172</v>
      </c>
      <c r="B3" s="52">
        <v>19673.284686002258</v>
      </c>
      <c r="C3" s="53">
        <v>2.3646124545927533E-2</v>
      </c>
      <c r="D3" s="53">
        <v>8.3742851916382265E-3</v>
      </c>
      <c r="E3" s="53">
        <f t="shared" ref="E3:E66" si="0">D3*C3</f>
        <v>1.9801939062459413E-4</v>
      </c>
    </row>
    <row r="4" spans="1:5">
      <c r="A4" s="54" t="s">
        <v>173</v>
      </c>
      <c r="B4" s="52">
        <v>19395.765126312748</v>
      </c>
      <c r="C4" s="53">
        <v>7.3024796391835027E-3</v>
      </c>
      <c r="D4" s="53">
        <v>8.2561540317332722E-3</v>
      </c>
      <c r="E4" s="53">
        <f t="shared" si="0"/>
        <v>6.029039671469501E-5</v>
      </c>
    </row>
    <row r="5" spans="1:5">
      <c r="A5" s="54" t="s">
        <v>174</v>
      </c>
      <c r="B5" s="52">
        <v>20324.617838967646</v>
      </c>
      <c r="C5" s="53"/>
      <c r="D5" s="53">
        <v>8.6515367876354096E-3</v>
      </c>
      <c r="E5" s="53">
        <f t="shared" si="0"/>
        <v>0</v>
      </c>
    </row>
    <row r="6" spans="1:5">
      <c r="A6" s="54" t="s">
        <v>175</v>
      </c>
      <c r="B6" s="52">
        <v>47945.510090052856</v>
      </c>
      <c r="C6" s="53"/>
      <c r="D6" s="53">
        <v>2.0408863164489699E-2</v>
      </c>
      <c r="E6" s="53">
        <f t="shared" si="0"/>
        <v>0</v>
      </c>
    </row>
    <row r="7" spans="1:5">
      <c r="A7" s="54" t="s">
        <v>176</v>
      </c>
      <c r="B7" s="52">
        <v>1936</v>
      </c>
      <c r="C7" s="53">
        <v>2.8166707179707803E-2</v>
      </c>
      <c r="D7" s="53">
        <v>8.2409299665891827E-4</v>
      </c>
      <c r="E7" s="53">
        <f t="shared" si="0"/>
        <v>2.3211986125739672E-5</v>
      </c>
    </row>
    <row r="8" spans="1:5">
      <c r="A8" s="54" t="s">
        <v>177</v>
      </c>
      <c r="B8" s="52">
        <v>66383.287002996891</v>
      </c>
      <c r="C8" s="53">
        <v>3.2513421250650362E-2</v>
      </c>
      <c r="D8" s="53">
        <v>2.8257232393785497E-2</v>
      </c>
      <c r="E8" s="53">
        <f t="shared" si="0"/>
        <v>9.1873930019667125E-4</v>
      </c>
    </row>
    <row r="9" spans="1:5">
      <c r="A9" s="54" t="s">
        <v>178</v>
      </c>
      <c r="B9" s="52">
        <v>15321.055818326313</v>
      </c>
      <c r="C9" s="53"/>
      <c r="D9" s="53">
        <v>6.5216811990201889E-3</v>
      </c>
      <c r="E9" s="53">
        <f t="shared" si="0"/>
        <v>0</v>
      </c>
    </row>
    <row r="10" spans="1:5">
      <c r="A10" s="54" t="s">
        <v>179</v>
      </c>
      <c r="B10" s="52">
        <v>78788.828906863448</v>
      </c>
      <c r="C10" s="53">
        <v>4.4510352086451821E-2</v>
      </c>
      <c r="D10" s="53">
        <v>3.3537872994371845E-2</v>
      </c>
      <c r="E10" s="53">
        <f t="shared" si="0"/>
        <v>1.492782535210195E-3</v>
      </c>
    </row>
    <row r="11" spans="1:5">
      <c r="A11" s="54" t="s">
        <v>180</v>
      </c>
      <c r="B11" s="52">
        <v>395926.07516300579</v>
      </c>
      <c r="C11" s="53"/>
      <c r="D11" s="53">
        <v>0.16853300916140782</v>
      </c>
      <c r="E11" s="53">
        <f t="shared" si="0"/>
        <v>0</v>
      </c>
    </row>
    <row r="12" spans="1:5">
      <c r="A12" s="54" t="s">
        <v>181</v>
      </c>
      <c r="B12" s="52">
        <v>163697.92759398237</v>
      </c>
      <c r="C12" s="53"/>
      <c r="D12" s="53">
        <v>6.9680948191001832E-2</v>
      </c>
      <c r="E12" s="53">
        <f t="shared" si="0"/>
        <v>0</v>
      </c>
    </row>
    <row r="13" spans="1:5">
      <c r="A13" s="54" t="s">
        <v>182</v>
      </c>
      <c r="B13" s="52">
        <v>20516.134388660783</v>
      </c>
      <c r="C13" s="53"/>
      <c r="D13" s="53">
        <v>8.7330592294465638E-3</v>
      </c>
      <c r="E13" s="53">
        <f t="shared" si="0"/>
        <v>0</v>
      </c>
    </row>
    <row r="14" spans="1:5">
      <c r="A14" s="54" t="s">
        <v>183</v>
      </c>
      <c r="B14" s="52">
        <v>76370.394412416266</v>
      </c>
      <c r="C14" s="53"/>
      <c r="D14" s="53">
        <v>3.2508423133962613E-2</v>
      </c>
      <c r="E14" s="53">
        <f t="shared" si="0"/>
        <v>0</v>
      </c>
    </row>
    <row r="15" spans="1:5">
      <c r="A15" s="54" t="s">
        <v>184</v>
      </c>
      <c r="B15" s="52">
        <v>107440.57583804752</v>
      </c>
      <c r="C15" s="53"/>
      <c r="D15" s="53">
        <v>4.5734001087363814E-2</v>
      </c>
      <c r="E15" s="53">
        <f t="shared" si="0"/>
        <v>0</v>
      </c>
    </row>
    <row r="16" spans="1:5">
      <c r="A16" s="54" t="s">
        <v>185</v>
      </c>
      <c r="B16" s="52">
        <v>20904.898296250143</v>
      </c>
      <c r="C16" s="53"/>
      <c r="D16" s="53">
        <v>8.8985435339910615E-3</v>
      </c>
      <c r="E16" s="53">
        <f t="shared" si="0"/>
        <v>0</v>
      </c>
    </row>
    <row r="17" spans="1:5">
      <c r="A17" s="54" t="s">
        <v>186</v>
      </c>
      <c r="B17" s="52">
        <v>14397.127281382942</v>
      </c>
      <c r="C17" s="53">
        <v>9.614931524924944E-2</v>
      </c>
      <c r="D17" s="53">
        <v>6.1283945065055438E-3</v>
      </c>
      <c r="E17" s="53">
        <f t="shared" si="0"/>
        <v>5.8924093537777002E-4</v>
      </c>
    </row>
    <row r="18" spans="1:5">
      <c r="A18" s="54" t="s">
        <v>187</v>
      </c>
      <c r="B18" s="52">
        <v>141109.37320941436</v>
      </c>
      <c r="C18" s="53">
        <v>3.7034003884430629E-2</v>
      </c>
      <c r="D18" s="53">
        <v>6.0065726355789231E-2</v>
      </c>
      <c r="E18" s="53">
        <f t="shared" si="0"/>
        <v>2.2244743431814457E-3</v>
      </c>
    </row>
    <row r="19" spans="1:5">
      <c r="A19" s="54" t="s">
        <v>188</v>
      </c>
      <c r="B19" s="52">
        <v>20624.597846549506</v>
      </c>
      <c r="C19" s="53">
        <v>0.1479621469748848</v>
      </c>
      <c r="D19" s="53">
        <v>8.7792286385578785E-3</v>
      </c>
      <c r="E19" s="53">
        <f t="shared" si="0"/>
        <v>1.2989935181444187E-3</v>
      </c>
    </row>
    <row r="20" spans="1:5">
      <c r="A20" s="54" t="s">
        <v>189</v>
      </c>
      <c r="B20" s="52">
        <v>12351.024843746696</v>
      </c>
      <c r="C20" s="53">
        <v>2.3646124545927533E-2</v>
      </c>
      <c r="D20" s="53">
        <v>5.2574344397169227E-3</v>
      </c>
      <c r="E20" s="53">
        <f t="shared" si="0"/>
        <v>1.243179495535951E-4</v>
      </c>
    </row>
    <row r="21" spans="1:5">
      <c r="A21" s="54" t="s">
        <v>190</v>
      </c>
      <c r="B21" s="52">
        <v>16819.170420565319</v>
      </c>
      <c r="C21" s="53">
        <v>0.1479621469748848</v>
      </c>
      <c r="D21" s="53">
        <v>7.1593804510334249E-3</v>
      </c>
      <c r="E21" s="53">
        <f t="shared" si="0"/>
        <v>1.0593173025449246E-3</v>
      </c>
    </row>
    <row r="22" spans="1:5">
      <c r="A22" s="54" t="s">
        <v>191</v>
      </c>
      <c r="B22" s="52">
        <v>362814.95169607276</v>
      </c>
      <c r="C22" s="53">
        <v>3.2513421250650362E-2</v>
      </c>
      <c r="D22" s="53">
        <v>0.15443866775613496</v>
      </c>
      <c r="E22" s="53">
        <f t="shared" si="0"/>
        <v>5.0213294621444492E-3</v>
      </c>
    </row>
    <row r="23" spans="1:5">
      <c r="A23" s="54" t="s">
        <v>192</v>
      </c>
      <c r="B23" s="52">
        <v>14097.76864766952</v>
      </c>
      <c r="C23" s="53">
        <v>2.8166707179707803E-2</v>
      </c>
      <c r="D23" s="53">
        <v>6.0009671544742358E-3</v>
      </c>
      <c r="E23" s="53">
        <f t="shared" si="0"/>
        <v>1.6902748463512015E-4</v>
      </c>
    </row>
    <row r="24" spans="1:5">
      <c r="A24" s="54" t="s">
        <v>193</v>
      </c>
      <c r="B24" s="52">
        <v>31013.986429186058</v>
      </c>
      <c r="C24" s="53">
        <v>3.2513421250650362E-2</v>
      </c>
      <c r="D24" s="53">
        <v>1.3201657548949877E-2</v>
      </c>
      <c r="E24" s="53">
        <f t="shared" si="0"/>
        <v>4.292310530958357E-4</v>
      </c>
    </row>
    <row r="25" spans="1:5">
      <c r="A25" s="54" t="s">
        <v>194</v>
      </c>
      <c r="B25" s="52">
        <v>377781.60098587308</v>
      </c>
      <c r="C25" s="53">
        <v>4.4510352086451821E-2</v>
      </c>
      <c r="D25" s="53">
        <v>0.16080948948298135</v>
      </c>
      <c r="E25" s="53">
        <f t="shared" si="0"/>
        <v>7.1576869957300712E-3</v>
      </c>
    </row>
    <row r="26" spans="1:5">
      <c r="A26" s="54" t="s">
        <v>195</v>
      </c>
      <c r="B26" s="52">
        <v>4597.8558450427581</v>
      </c>
      <c r="C26" s="53">
        <v>2.8166707179707803E-2</v>
      </c>
      <c r="D26" s="53">
        <v>1.9571595049313064E-3</v>
      </c>
      <c r="E26" s="53">
        <f t="shared" si="0"/>
        <v>5.5126738679381999E-5</v>
      </c>
    </row>
    <row r="27" spans="1:5">
      <c r="A27" s="54" t="s">
        <v>196</v>
      </c>
      <c r="B27" s="52">
        <v>79158.286333523982</v>
      </c>
      <c r="C27" s="53">
        <v>2.3646124545927533E-2</v>
      </c>
      <c r="D27" s="53">
        <v>3.36951391502988E-2</v>
      </c>
      <c r="E27" s="53">
        <f t="shared" si="0"/>
        <v>7.967594569403243E-4</v>
      </c>
    </row>
    <row r="28" spans="1:5">
      <c r="A28" s="54" t="s">
        <v>197</v>
      </c>
      <c r="B28" s="52">
        <v>9171.2618350626417</v>
      </c>
      <c r="C28" s="53">
        <v>3.2513421250650362E-2</v>
      </c>
      <c r="D28" s="53">
        <v>3.903911492148937E-3</v>
      </c>
      <c r="E28" s="53">
        <f t="shared" si="0"/>
        <v>1.2692951886949342E-4</v>
      </c>
    </row>
    <row r="29" spans="1:5">
      <c r="A29" s="54" t="s">
        <v>198</v>
      </c>
      <c r="B29" s="52">
        <v>48529.595416653261</v>
      </c>
      <c r="C29" s="53"/>
      <c r="D29" s="53">
        <v>2.0657489521464199E-2</v>
      </c>
      <c r="E29" s="53">
        <f t="shared" si="0"/>
        <v>0</v>
      </c>
    </row>
    <row r="30" spans="1:5">
      <c r="A30" s="54" t="s">
        <v>199</v>
      </c>
      <c r="B30" s="52">
        <v>49272.882213623001</v>
      </c>
      <c r="C30" s="53">
        <v>3.2513421250650362E-2</v>
      </c>
      <c r="D30" s="53">
        <v>2.0973882829259553E-2</v>
      </c>
      <c r="E30" s="53">
        <f t="shared" si="0"/>
        <v>6.8193268768949823E-4</v>
      </c>
    </row>
    <row r="31" spans="1:5">
      <c r="A31" s="54" t="s">
        <v>200</v>
      </c>
      <c r="B31" s="52">
        <v>28162.630953928499</v>
      </c>
      <c r="C31" s="53"/>
      <c r="D31" s="53">
        <v>1.1987927136684992E-2</v>
      </c>
      <c r="E31" s="53">
        <f t="shared" si="0"/>
        <v>0</v>
      </c>
    </row>
    <row r="32" spans="1:5">
      <c r="A32" s="55" t="s">
        <v>201</v>
      </c>
      <c r="B32" s="56">
        <v>2349249.4267625553</v>
      </c>
      <c r="C32" s="53">
        <f>SUM(E2:E31)</f>
        <v>2.3599969907680082E-2</v>
      </c>
      <c r="D32" s="53">
        <v>0.99999999999999989</v>
      </c>
      <c r="E32" s="53">
        <f t="shared" si="0"/>
        <v>2.3599969907680079E-2</v>
      </c>
    </row>
    <row r="33" spans="1:5">
      <c r="A33" s="54" t="s">
        <v>202</v>
      </c>
      <c r="B33" s="52">
        <v>437415.33104099432</v>
      </c>
      <c r="C33" s="53">
        <v>8.1370487408044728E-2</v>
      </c>
      <c r="D33" s="53">
        <v>1.3191683335629556E-2</v>
      </c>
      <c r="E33" s="53">
        <f t="shared" si="0"/>
        <v>1.0734137027527584E-3</v>
      </c>
    </row>
    <row r="34" spans="1:5">
      <c r="A34" s="54" t="s">
        <v>203</v>
      </c>
      <c r="B34" s="52">
        <v>31772.759998857127</v>
      </c>
      <c r="C34" s="53">
        <v>8.1370487408044728E-2</v>
      </c>
      <c r="D34" s="53">
        <v>9.5821101561847119E-4</v>
      </c>
      <c r="E34" s="53">
        <f t="shared" si="0"/>
        <v>7.7970097380632557E-5</v>
      </c>
    </row>
    <row r="35" spans="1:5">
      <c r="A35" s="54" t="s">
        <v>204</v>
      </c>
      <c r="B35" s="52">
        <v>17794781.986104459</v>
      </c>
      <c r="C35" s="53">
        <v>1.0432113770262149E-2</v>
      </c>
      <c r="D35" s="53">
        <v>0.53665958261818492</v>
      </c>
      <c r="E35" s="53">
        <f t="shared" si="0"/>
        <v>5.5984938217743044E-3</v>
      </c>
    </row>
    <row r="36" spans="1:5">
      <c r="A36" s="54" t="s">
        <v>205</v>
      </c>
      <c r="B36" s="52">
        <v>5494.7975407336471</v>
      </c>
      <c r="C36" s="53">
        <v>6.6591659566840031E-2</v>
      </c>
      <c r="D36" s="53">
        <v>1.6571350843658703E-4</v>
      </c>
      <c r="E36" s="53">
        <f t="shared" si="0"/>
        <v>1.1035137539435877E-5</v>
      </c>
    </row>
    <row r="37" spans="1:5">
      <c r="A37" s="54" t="s">
        <v>206</v>
      </c>
      <c r="B37" s="52">
        <v>382054.57429852907</v>
      </c>
      <c r="C37" s="53">
        <v>8.8672967047228254E-3</v>
      </c>
      <c r="D37" s="53">
        <v>1.1522099486272029E-2</v>
      </c>
      <c r="E37" s="53">
        <f t="shared" si="0"/>
        <v>1.0216987480610852E-4</v>
      </c>
    </row>
    <row r="38" spans="1:5">
      <c r="A38" s="54" t="s">
        <v>207</v>
      </c>
      <c r="B38" s="52">
        <v>3549918.9187775319</v>
      </c>
      <c r="C38" s="53">
        <v>3.2513421250650362E-2</v>
      </c>
      <c r="D38" s="53">
        <v>0.10705936193920199</v>
      </c>
      <c r="E38" s="53">
        <f t="shared" si="0"/>
        <v>3.4808661335551183E-3</v>
      </c>
    </row>
    <row r="39" spans="1:5">
      <c r="A39" s="54" t="s">
        <v>208</v>
      </c>
      <c r="B39" s="52">
        <v>1371171.152331155</v>
      </c>
      <c r="C39" s="53">
        <v>2.8166707179707803E-2</v>
      </c>
      <c r="D39" s="53">
        <v>4.1352130016694987E-2</v>
      </c>
      <c r="E39" s="53">
        <f t="shared" si="0"/>
        <v>1.1647533374374533E-3</v>
      </c>
    </row>
    <row r="40" spans="1:5">
      <c r="A40" s="54" t="s">
        <v>209</v>
      </c>
      <c r="B40" s="52">
        <v>4212945.1597814029</v>
      </c>
      <c r="C40" s="53">
        <v>1.0432113770262149E-2</v>
      </c>
      <c r="D40" s="53">
        <v>0.1270550767526733</v>
      </c>
      <c r="E40" s="53">
        <f t="shared" si="0"/>
        <v>1.3254530157732773E-3</v>
      </c>
    </row>
    <row r="41" spans="1:5">
      <c r="A41" s="54" t="s">
        <v>210</v>
      </c>
      <c r="B41" s="52">
        <v>1712792.8542023688</v>
      </c>
      <c r="C41" s="53">
        <v>7.3024796391835027E-3</v>
      </c>
      <c r="D41" s="53">
        <v>5.1654844603627341E-2</v>
      </c>
      <c r="E41" s="53">
        <f t="shared" si="0"/>
        <v>3.772084509831765E-4</v>
      </c>
    </row>
    <row r="42" spans="1:5">
      <c r="A42" s="54" t="s">
        <v>211</v>
      </c>
      <c r="B42" s="52">
        <v>15843.155731255179</v>
      </c>
      <c r="C42" s="53">
        <v>0.1479621469748848</v>
      </c>
      <c r="D42" s="53">
        <v>4.7780193928364091E-4</v>
      </c>
      <c r="E42" s="53">
        <f t="shared" si="0"/>
        <v>7.0696600765171065E-5</v>
      </c>
    </row>
    <row r="43" spans="1:5">
      <c r="A43" s="54" t="s">
        <v>212</v>
      </c>
      <c r="B43" s="52">
        <v>47061.843715856485</v>
      </c>
      <c r="C43" s="53">
        <v>8.8672967047228254E-3</v>
      </c>
      <c r="D43" s="53">
        <v>1.4193031095023124E-3</v>
      </c>
      <c r="E43" s="53">
        <f t="shared" si="0"/>
        <v>1.2585381785892714E-5</v>
      </c>
    </row>
    <row r="44" spans="1:5">
      <c r="A44" s="54" t="s">
        <v>213</v>
      </c>
      <c r="B44" s="52">
        <v>399648.82854650426</v>
      </c>
      <c r="C44" s="53">
        <v>1.7734593409445651E-2</v>
      </c>
      <c r="D44" s="53">
        <v>1.205271150211857E-2</v>
      </c>
      <c r="E44" s="53">
        <f t="shared" si="0"/>
        <v>2.1374993797142178E-4</v>
      </c>
    </row>
    <row r="45" spans="1:5">
      <c r="A45" s="54" t="s">
        <v>214</v>
      </c>
      <c r="B45" s="52">
        <v>6600</v>
      </c>
      <c r="C45" s="53">
        <v>0.13318331913368006</v>
      </c>
      <c r="D45" s="53">
        <v>1.9904448663916486E-4</v>
      </c>
      <c r="E45" s="53">
        <f t="shared" si="0"/>
        <v>2.6509405385863411E-5</v>
      </c>
    </row>
    <row r="46" spans="1:5">
      <c r="A46" s="54" t="s">
        <v>215</v>
      </c>
      <c r="B46" s="52">
        <v>19872.180369627498</v>
      </c>
      <c r="C46" s="53">
        <v>8.1370487408044728E-2</v>
      </c>
      <c r="D46" s="53">
        <v>5.9931029395051435E-4</v>
      </c>
      <c r="E46" s="53">
        <f t="shared" si="0"/>
        <v>4.8766170727411911E-5</v>
      </c>
    </row>
    <row r="47" spans="1:5">
      <c r="A47" s="54" t="s">
        <v>216</v>
      </c>
      <c r="B47" s="52">
        <v>40908.073366845521</v>
      </c>
      <c r="C47" s="53">
        <v>5.3203780228336939E-2</v>
      </c>
      <c r="D47" s="53">
        <v>1.2337161307122819E-3</v>
      </c>
      <c r="E47" s="53">
        <f t="shared" si="0"/>
        <v>6.5638361882570457E-5</v>
      </c>
    </row>
    <row r="48" spans="1:5">
      <c r="A48" s="54" t="s">
        <v>217</v>
      </c>
      <c r="B48" s="52">
        <v>338368.45531787578</v>
      </c>
      <c r="C48" s="53">
        <v>0.13318331913368006</v>
      </c>
      <c r="D48" s="53">
        <v>1.0204602346005119E-2</v>
      </c>
      <c r="E48" s="53">
        <f t="shared" si="0"/>
        <v>1.3590828108802999E-3</v>
      </c>
    </row>
    <row r="49" spans="1:5">
      <c r="A49" s="54" t="s">
        <v>218</v>
      </c>
      <c r="B49" s="52">
        <v>30932.496249791653</v>
      </c>
      <c r="C49" s="53">
        <v>8.1370487408044728E-2</v>
      </c>
      <c r="D49" s="53">
        <v>9.3287012674358669E-4</v>
      </c>
      <c r="E49" s="53">
        <f t="shared" si="0"/>
        <v>7.5908096901530114E-5</v>
      </c>
    </row>
    <row r="50" spans="1:5">
      <c r="A50" s="54" t="s">
        <v>219</v>
      </c>
      <c r="B50" s="52">
        <v>437146.37272994244</v>
      </c>
      <c r="C50" s="53">
        <v>2.8166707179707803E-2</v>
      </c>
      <c r="D50" s="53">
        <v>1.3183572022152184E-2</v>
      </c>
      <c r="E50" s="53">
        <f t="shared" si="0"/>
        <v>3.7133781273054883E-4</v>
      </c>
    </row>
    <row r="51" spans="1:5">
      <c r="A51" s="54" t="s">
        <v>220</v>
      </c>
      <c r="B51" s="52">
        <v>501427.50008005853</v>
      </c>
      <c r="C51" s="53">
        <v>0</v>
      </c>
      <c r="D51" s="53">
        <v>1.5122178687908341E-2</v>
      </c>
      <c r="E51" s="53">
        <f t="shared" si="0"/>
        <v>0</v>
      </c>
    </row>
    <row r="52" spans="1:5">
      <c r="A52" s="54" t="s">
        <v>221</v>
      </c>
      <c r="B52" s="52">
        <v>1631.2867011151561</v>
      </c>
      <c r="C52" s="53">
        <v>0.11092814309045415</v>
      </c>
      <c r="D52" s="53">
        <v>4.9196761209812578E-5</v>
      </c>
      <c r="E52" s="53">
        <f t="shared" si="0"/>
        <v>5.4573053670689941E-6</v>
      </c>
    </row>
    <row r="53" spans="1:5">
      <c r="A53" s="54" t="s">
        <v>222</v>
      </c>
      <c r="B53" s="52">
        <v>84356.860421129953</v>
      </c>
      <c r="C53" s="53">
        <v>0.17751980265729422</v>
      </c>
      <c r="D53" s="53">
        <v>2.5440557540932569E-3</v>
      </c>
      <c r="E53" s="53">
        <f t="shared" si="0"/>
        <v>4.5162027541578882E-4</v>
      </c>
    </row>
    <row r="54" spans="1:5">
      <c r="A54" s="54" t="s">
        <v>223</v>
      </c>
      <c r="B54" s="52">
        <v>791610</v>
      </c>
      <c r="C54" s="53">
        <v>8.8672967047228254E-3</v>
      </c>
      <c r="D54" s="53">
        <v>2.3873576677034745E-2</v>
      </c>
      <c r="E54" s="53">
        <f t="shared" si="0"/>
        <v>2.116940877982179E-4</v>
      </c>
    </row>
    <row r="55" spans="1:5">
      <c r="A55" s="54" t="s">
        <v>224</v>
      </c>
      <c r="B55" s="52">
        <v>514944.99383357755</v>
      </c>
      <c r="C55" s="53">
        <v>2.3646124545927533E-2</v>
      </c>
      <c r="D55" s="53">
        <v>1.5529842718941268E-2</v>
      </c>
      <c r="E55" s="53">
        <f t="shared" si="0"/>
        <v>3.6722059511075112E-4</v>
      </c>
    </row>
    <row r="56" spans="1:5">
      <c r="A56" s="54" t="s">
        <v>225</v>
      </c>
      <c r="B56" s="52">
        <v>429716.96904959279</v>
      </c>
      <c r="C56" s="53">
        <v>4.4510352086451821E-2</v>
      </c>
      <c r="D56" s="53">
        <v>1.2959514167365772E-2</v>
      </c>
      <c r="E56" s="53">
        <f t="shared" si="0"/>
        <v>5.7683253845881106E-4</v>
      </c>
    </row>
    <row r="57" spans="1:5">
      <c r="A57" s="55" t="s">
        <v>226</v>
      </c>
      <c r="B57" s="56">
        <v>33158416.550189212</v>
      </c>
      <c r="C57" s="53">
        <f>SUM(E33:E56)</f>
        <v>1.7068462953183611E-2</v>
      </c>
      <c r="D57" s="53">
        <v>0.99999999999999978</v>
      </c>
      <c r="E57" s="53">
        <f t="shared" si="0"/>
        <v>1.7068462953183608E-2</v>
      </c>
    </row>
    <row r="58" spans="1:5">
      <c r="A58" s="54" t="s">
        <v>227</v>
      </c>
      <c r="B58" s="52">
        <v>1723827.2153347062</v>
      </c>
      <c r="C58" s="53">
        <v>0</v>
      </c>
      <c r="D58" s="53">
        <v>0.8711887542108806</v>
      </c>
      <c r="E58" s="53">
        <f t="shared" si="0"/>
        <v>0</v>
      </c>
    </row>
    <row r="59" spans="1:5">
      <c r="A59" s="54" t="s">
        <v>228</v>
      </c>
      <c r="B59" s="52">
        <v>1414</v>
      </c>
      <c r="C59" s="53">
        <v>6.6591659566840031E-2</v>
      </c>
      <c r="D59" s="53">
        <v>7.1460810427859578E-4</v>
      </c>
      <c r="E59" s="53">
        <f t="shared" si="0"/>
        <v>4.7586939603825173E-5</v>
      </c>
    </row>
    <row r="60" spans="1:5">
      <c r="A60" s="54" t="s">
        <v>229</v>
      </c>
      <c r="B60" s="52">
        <v>253465.70323214593</v>
      </c>
      <c r="C60" s="53">
        <v>0</v>
      </c>
      <c r="D60" s="53">
        <v>0.12809663768484084</v>
      </c>
      <c r="E60" s="53">
        <f t="shared" si="0"/>
        <v>0</v>
      </c>
    </row>
    <row r="61" spans="1:5">
      <c r="A61" s="55" t="s">
        <v>230</v>
      </c>
      <c r="B61" s="57">
        <v>1978706.9185668521</v>
      </c>
      <c r="C61" s="53">
        <v>4.7586939603825173E-5</v>
      </c>
      <c r="D61" s="53">
        <v>1</v>
      </c>
      <c r="E61" s="53">
        <f t="shared" si="0"/>
        <v>4.7586939603825173E-5</v>
      </c>
    </row>
    <row r="62" spans="1:5">
      <c r="A62" s="54" t="s">
        <v>231</v>
      </c>
      <c r="B62" s="52">
        <v>3544.7077880566426</v>
      </c>
      <c r="C62" s="53">
        <v>3.2513421250650362E-2</v>
      </c>
      <c r="D62" s="53">
        <v>1.0052755328285716E-2</v>
      </c>
      <c r="E62" s="53">
        <f t="shared" si="0"/>
        <v>3.2684946871827349E-4</v>
      </c>
    </row>
    <row r="63" spans="1:5">
      <c r="A63" s="54" t="s">
        <v>232</v>
      </c>
      <c r="B63" s="52">
        <v>11210</v>
      </c>
      <c r="C63" s="53">
        <v>6.6591659566840031E-2</v>
      </c>
      <c r="D63" s="53">
        <v>3.1791446282195532E-2</v>
      </c>
      <c r="E63" s="53">
        <f t="shared" si="0"/>
        <v>2.117045167961447E-3</v>
      </c>
    </row>
    <row r="64" spans="1:5">
      <c r="A64" s="54" t="s">
        <v>233</v>
      </c>
      <c r="B64" s="52">
        <v>6393.5641896134503</v>
      </c>
      <c r="C64" s="53">
        <v>8.1370487408044728E-2</v>
      </c>
      <c r="D64" s="53">
        <v>1.8132083183395629E-2</v>
      </c>
      <c r="E64" s="53">
        <f t="shared" si="0"/>
        <v>1.4754164463561135E-3</v>
      </c>
    </row>
    <row r="65" spans="1:5">
      <c r="A65" s="54" t="s">
        <v>234</v>
      </c>
      <c r="B65" s="52">
        <v>7827.98</v>
      </c>
      <c r="C65" s="53">
        <v>1.2518536524314576E-2</v>
      </c>
      <c r="D65" s="53">
        <v>2.2200071870481796E-2</v>
      </c>
      <c r="E65" s="53">
        <f t="shared" si="0"/>
        <v>2.7791241055303499E-4</v>
      </c>
    </row>
    <row r="66" spans="1:5">
      <c r="A66" s="54" t="s">
        <v>235</v>
      </c>
      <c r="B66" s="52">
        <v>6600.8440015372053</v>
      </c>
      <c r="C66" s="53">
        <v>8.8672967047228254E-3</v>
      </c>
      <c r="D66" s="53">
        <v>1.8719926627299075E-2</v>
      </c>
      <c r="E66" s="53">
        <f t="shared" si="0"/>
        <v>1.6599514369490217E-4</v>
      </c>
    </row>
    <row r="67" spans="1:5">
      <c r="A67" s="54" t="s">
        <v>236</v>
      </c>
      <c r="B67" s="52">
        <v>107351</v>
      </c>
      <c r="C67" s="53">
        <v>0.17751980265729422</v>
      </c>
      <c r="D67" s="53">
        <v>0.30444634699732132</v>
      </c>
      <c r="E67" s="53">
        <f t="shared" ref="E67:E130" si="1">D67*C67</f>
        <v>5.4045255438698599E-2</v>
      </c>
    </row>
    <row r="68" spans="1:5">
      <c r="A68" s="54" t="s">
        <v>237</v>
      </c>
      <c r="B68" s="52">
        <v>3073.8403254328496</v>
      </c>
      <c r="C68" s="53">
        <v>3.2513421250650362E-2</v>
      </c>
      <c r="D68" s="53">
        <v>8.717379980913903E-3</v>
      </c>
      <c r="E68" s="53">
        <f t="shared" si="1"/>
        <v>2.8343184752144013E-4</v>
      </c>
    </row>
    <row r="69" spans="1:5">
      <c r="A69" s="54" t="s">
        <v>238</v>
      </c>
      <c r="B69" s="52">
        <v>121444.27931393079</v>
      </c>
      <c r="C69" s="53">
        <v>5.3203780228336939E-2</v>
      </c>
      <c r="D69" s="53">
        <v>0.3444147441649224</v>
      </c>
      <c r="E69" s="53">
        <f t="shared" si="1"/>
        <v>1.8324166355949422E-2</v>
      </c>
    </row>
    <row r="70" spans="1:5">
      <c r="A70" s="54" t="s">
        <v>239</v>
      </c>
      <c r="B70" s="52">
        <v>19423.355367237178</v>
      </c>
      <c r="C70" s="53">
        <v>6.6591659566840031E-2</v>
      </c>
      <c r="D70" s="53">
        <v>5.5084438784791703E-2</v>
      </c>
      <c r="E70" s="53">
        <f t="shared" si="1"/>
        <v>3.6681641949872883E-3</v>
      </c>
    </row>
    <row r="71" spans="1:5">
      <c r="A71" s="54" t="s">
        <v>240</v>
      </c>
      <c r="B71" s="52">
        <v>16199</v>
      </c>
      <c r="C71" s="53">
        <v>3.2513421250650362E-2</v>
      </c>
      <c r="D71" s="53">
        <v>4.5940199672193163E-2</v>
      </c>
      <c r="E71" s="53">
        <f t="shared" si="1"/>
        <v>1.4936730642810059E-3</v>
      </c>
    </row>
    <row r="72" spans="1:5">
      <c r="A72" s="54" t="s">
        <v>241</v>
      </c>
      <c r="B72" s="52">
        <v>11900</v>
      </c>
      <c r="C72" s="53">
        <v>4.4510352086451821E-2</v>
      </c>
      <c r="D72" s="53">
        <v>3.3748279282616131E-2</v>
      </c>
      <c r="E72" s="53">
        <f t="shared" si="1"/>
        <v>1.5021477931811517E-3</v>
      </c>
    </row>
    <row r="73" spans="1:5">
      <c r="A73" s="54" t="s">
        <v>242</v>
      </c>
      <c r="B73" s="52">
        <v>8100</v>
      </c>
      <c r="C73" s="53">
        <v>9.614931524924944E-2</v>
      </c>
      <c r="D73" s="53">
        <v>2.2971517831024423E-2</v>
      </c>
      <c r="E73" s="53">
        <f t="shared" si="1"/>
        <v>2.2086957096889219E-3</v>
      </c>
    </row>
    <row r="74" spans="1:5">
      <c r="A74" s="54" t="s">
        <v>243</v>
      </c>
      <c r="B74" s="52">
        <v>28139.944790291102</v>
      </c>
      <c r="C74" s="53">
        <v>4.4510352086451821E-2</v>
      </c>
      <c r="D74" s="53">
        <v>7.9804597964717894E-2</v>
      </c>
      <c r="E74" s="53">
        <f t="shared" si="1"/>
        <v>3.5521307535273296E-3</v>
      </c>
    </row>
    <row r="75" spans="1:5">
      <c r="A75" s="54" t="s">
        <v>244</v>
      </c>
      <c r="B75" s="52">
        <v>1402.0543909473399</v>
      </c>
      <c r="C75" s="53">
        <v>2.3646124545927533E-2</v>
      </c>
      <c r="D75" s="53">
        <v>3.9762120298410999E-3</v>
      </c>
      <c r="E75" s="53">
        <f t="shared" si="1"/>
        <v>9.4022004878637969E-5</v>
      </c>
    </row>
    <row r="76" spans="1:5">
      <c r="A76" s="55" t="s">
        <v>245</v>
      </c>
      <c r="B76" s="57">
        <v>352610.57016704662</v>
      </c>
      <c r="C76" s="53">
        <v>8.9534905799997566E-2</v>
      </c>
      <c r="D76" s="53">
        <v>0.99999999999999989</v>
      </c>
      <c r="E76" s="53">
        <f t="shared" si="1"/>
        <v>8.9534905799997552E-2</v>
      </c>
    </row>
    <row r="77" spans="1:5">
      <c r="A77" s="54" t="s">
        <v>246</v>
      </c>
      <c r="B77" s="52">
        <v>640591.41066388343</v>
      </c>
      <c r="C77" s="53">
        <v>0.1479621469748848</v>
      </c>
      <c r="D77" s="53">
        <v>0.10138583010353312</v>
      </c>
      <c r="E77" s="53">
        <f t="shared" si="1"/>
        <v>1.5001265094949668E-2</v>
      </c>
    </row>
    <row r="78" spans="1:5">
      <c r="A78" s="54" t="s">
        <v>247</v>
      </c>
      <c r="B78" s="52">
        <v>3281.5</v>
      </c>
      <c r="C78" s="53">
        <v>0.11092814309045415</v>
      </c>
      <c r="D78" s="53">
        <v>5.1936007249917611E-4</v>
      </c>
      <c r="E78" s="53">
        <f t="shared" si="1"/>
        <v>5.7611648437657249E-5</v>
      </c>
    </row>
    <row r="79" spans="1:5">
      <c r="A79" s="54" t="s">
        <v>248</v>
      </c>
      <c r="B79" s="52">
        <v>45849.832906413896</v>
      </c>
      <c r="C79" s="53">
        <v>0.17751980265729422</v>
      </c>
      <c r="D79" s="53">
        <v>7.2566120805577419E-3</v>
      </c>
      <c r="E79" s="53">
        <f t="shared" si="1"/>
        <v>1.2881923445011475E-3</v>
      </c>
    </row>
    <row r="80" spans="1:5">
      <c r="A80" s="54" t="s">
        <v>249</v>
      </c>
      <c r="B80" s="52">
        <v>2173665.6559372735</v>
      </c>
      <c r="C80" s="53">
        <v>3.7034003884430629E-2</v>
      </c>
      <c r="D80" s="53">
        <v>0.34402412087659651</v>
      </c>
      <c r="E80" s="53">
        <f t="shared" si="1"/>
        <v>1.2740590628881707E-2</v>
      </c>
    </row>
    <row r="81" spans="1:5">
      <c r="A81" s="54" t="s">
        <v>250</v>
      </c>
      <c r="B81" s="52">
        <v>335533.33166921913</v>
      </c>
      <c r="C81" s="53">
        <v>1.2518536524314576E-2</v>
      </c>
      <c r="D81" s="53">
        <v>5.3104560555116788E-2</v>
      </c>
      <c r="E81" s="53">
        <f t="shared" si="1"/>
        <v>6.6479138091690465E-4</v>
      </c>
    </row>
    <row r="82" spans="1:5">
      <c r="A82" s="54" t="s">
        <v>251</v>
      </c>
      <c r="B82" s="52">
        <v>363540.15623486834</v>
      </c>
      <c r="C82" s="53">
        <v>3.2513421250650362E-2</v>
      </c>
      <c r="D82" s="53">
        <v>5.7537175650922749E-2</v>
      </c>
      <c r="E82" s="53">
        <f t="shared" si="1"/>
        <v>1.8707304295111143E-3</v>
      </c>
    </row>
    <row r="83" spans="1:5">
      <c r="A83" s="54" t="s">
        <v>252</v>
      </c>
      <c r="B83" s="52">
        <v>86497.941439017435</v>
      </c>
      <c r="C83" s="53">
        <v>5.3203780228336939E-2</v>
      </c>
      <c r="D83" s="53">
        <v>1.3689951892975036E-2</v>
      </c>
      <c r="E83" s="53">
        <f t="shared" si="1"/>
        <v>7.2835719185034909E-4</v>
      </c>
    </row>
    <row r="84" spans="1:5">
      <c r="A84" s="54" t="s">
        <v>253</v>
      </c>
      <c r="B84" s="52">
        <v>118844.826</v>
      </c>
      <c r="C84" s="53">
        <v>0.1479621469748848</v>
      </c>
      <c r="D84" s="53">
        <v>1.8809464405763206E-2</v>
      </c>
      <c r="E84" s="53">
        <f t="shared" si="1"/>
        <v>2.7830887369243995E-3</v>
      </c>
    </row>
    <row r="85" spans="1:5">
      <c r="A85" s="54" t="s">
        <v>254</v>
      </c>
      <c r="B85" s="52">
        <v>34015.620000000003</v>
      </c>
      <c r="C85" s="53">
        <v>9.614931524924944E-2</v>
      </c>
      <c r="D85" s="53">
        <v>5.383621779461961E-3</v>
      </c>
      <c r="E85" s="53">
        <f t="shared" si="1"/>
        <v>5.176315476562133E-4</v>
      </c>
    </row>
    <row r="86" spans="1:5">
      <c r="A86" s="54" t="s">
        <v>255</v>
      </c>
      <c r="B86" s="52">
        <v>102050.47386363636</v>
      </c>
      <c r="C86" s="53">
        <v>3.7034003884430629E-2</v>
      </c>
      <c r="D86" s="53">
        <v>1.6151437301354092E-2</v>
      </c>
      <c r="E86" s="53">
        <f t="shared" si="1"/>
        <v>5.9815239175748519E-4</v>
      </c>
    </row>
    <row r="87" spans="1:5">
      <c r="A87" s="54" t="s">
        <v>256</v>
      </c>
      <c r="B87" s="52">
        <v>34400.509852043651</v>
      </c>
      <c r="C87" s="53">
        <v>6.6591659566840031E-2</v>
      </c>
      <c r="D87" s="53">
        <v>5.4445379523894591E-3</v>
      </c>
      <c r="E87" s="53">
        <f t="shared" si="1"/>
        <v>3.6256081782425916E-4</v>
      </c>
    </row>
    <row r="88" spans="1:5">
      <c r="A88" s="54" t="s">
        <v>257</v>
      </c>
      <c r="B88" s="52">
        <v>1788886.8210468132</v>
      </c>
      <c r="C88" s="53">
        <v>2.8166707179707803E-2</v>
      </c>
      <c r="D88" s="53">
        <v>0.28312551853472301</v>
      </c>
      <c r="E88" s="53">
        <f t="shared" si="1"/>
        <v>7.9747135756704779E-3</v>
      </c>
    </row>
    <row r="89" spans="1:5">
      <c r="A89" s="54" t="s">
        <v>258</v>
      </c>
      <c r="B89" s="52">
        <v>17829.215283799655</v>
      </c>
      <c r="C89" s="53">
        <v>8.1370487408044728E-2</v>
      </c>
      <c r="D89" s="53">
        <v>2.8218139699520361E-3</v>
      </c>
      <c r="E89" s="53">
        <f t="shared" si="1"/>
        <v>2.2961237810982687E-4</v>
      </c>
    </row>
    <row r="90" spans="1:5">
      <c r="A90" s="54" t="s">
        <v>259</v>
      </c>
      <c r="B90" s="52">
        <v>83382.399999999994</v>
      </c>
      <c r="C90" s="53">
        <v>3.2513421250650362E-2</v>
      </c>
      <c r="D90" s="53">
        <v>1.3196857933614291E-2</v>
      </c>
      <c r="E90" s="53">
        <f t="shared" si="1"/>
        <v>4.2907500118058873E-4</v>
      </c>
    </row>
    <row r="91" spans="1:5">
      <c r="A91" s="54" t="s">
        <v>260</v>
      </c>
      <c r="B91" s="52">
        <v>42956.263543948167</v>
      </c>
      <c r="C91" s="53">
        <v>3.2513421250650362E-2</v>
      </c>
      <c r="D91" s="53">
        <v>6.7986494433882778E-3</v>
      </c>
      <c r="E91" s="53">
        <f t="shared" si="1"/>
        <v>2.2104735328838269E-4</v>
      </c>
    </row>
    <row r="92" spans="1:5">
      <c r="A92" s="54" t="s">
        <v>261</v>
      </c>
      <c r="B92" s="52">
        <v>267603.24865525268</v>
      </c>
      <c r="C92" s="53">
        <v>2.3646124545927533E-2</v>
      </c>
      <c r="D92" s="53">
        <v>4.2353327021973815E-2</v>
      </c>
      <c r="E92" s="53">
        <f t="shared" si="1"/>
        <v>1.0014920456959909E-3</v>
      </c>
    </row>
    <row r="93" spans="1:5">
      <c r="A93" s="54" t="s">
        <v>262</v>
      </c>
      <c r="B93" s="52">
        <v>3782.4372960432288</v>
      </c>
      <c r="C93" s="53">
        <v>0.11092814309045415</v>
      </c>
      <c r="D93" s="53">
        <v>5.9864297068310186E-4</v>
      </c>
      <c r="E93" s="53">
        <f t="shared" si="1"/>
        <v>6.6406353112029675E-5</v>
      </c>
    </row>
    <row r="94" spans="1:5">
      <c r="A94" s="54" t="s">
        <v>263</v>
      </c>
      <c r="B94" s="52">
        <v>77240.831587166962</v>
      </c>
      <c r="C94" s="53">
        <v>2.3646124545927533E-2</v>
      </c>
      <c r="D94" s="53">
        <v>1.2224837389306013E-2</v>
      </c>
      <c r="E94" s="53">
        <f t="shared" si="1"/>
        <v>2.8907002746124161E-4</v>
      </c>
    </row>
    <row r="95" spans="1:5">
      <c r="A95" s="54" t="s">
        <v>264</v>
      </c>
      <c r="B95" s="52">
        <v>98400</v>
      </c>
      <c r="C95" s="53">
        <v>0.26329875264603469</v>
      </c>
      <c r="D95" s="53">
        <v>1.5573680065189372E-2</v>
      </c>
      <c r="E95" s="53">
        <f t="shared" si="1"/>
        <v>4.1005305352727782E-3</v>
      </c>
    </row>
    <row r="96" spans="1:5">
      <c r="A96" s="55" t="s">
        <v>265</v>
      </c>
      <c r="B96" s="57">
        <v>6318352.4759793812</v>
      </c>
      <c r="C96" s="53">
        <v>5.0924919483002214E-2</v>
      </c>
      <c r="D96" s="53">
        <v>0.99999999999999967</v>
      </c>
      <c r="E96" s="53">
        <f t="shared" si="1"/>
        <v>5.09249194830022E-2</v>
      </c>
    </row>
    <row r="97" spans="1:5">
      <c r="A97" s="54" t="s">
        <v>266</v>
      </c>
      <c r="B97" s="52">
        <v>22977.677860797856</v>
      </c>
      <c r="C97" s="53">
        <v>5.3203780228336939E-2</v>
      </c>
      <c r="D97" s="53">
        <v>7.2416882271827696E-3</v>
      </c>
      <c r="E97" s="53">
        <f t="shared" si="1"/>
        <v>3.8528518892116704E-4</v>
      </c>
    </row>
    <row r="98" spans="1:5">
      <c r="A98" s="54" t="s">
        <v>267</v>
      </c>
      <c r="B98" s="52">
        <v>24212.134631064004</v>
      </c>
      <c r="C98" s="53">
        <v>5.3203780228336939E-2</v>
      </c>
      <c r="D98" s="53">
        <v>7.6307419476831419E-3</v>
      </c>
      <c r="E98" s="53">
        <f t="shared" si="1"/>
        <v>4.0598431756368566E-4</v>
      </c>
    </row>
    <row r="99" spans="1:5">
      <c r="A99" s="54" t="s">
        <v>268</v>
      </c>
      <c r="B99" s="52">
        <v>72356.176470588238</v>
      </c>
      <c r="C99" s="53">
        <v>3.2513421250650362E-2</v>
      </c>
      <c r="D99" s="53">
        <v>2.280390884080501E-2</v>
      </c>
      <c r="E99" s="53">
        <f t="shared" si="1"/>
        <v>7.4143309430252326E-4</v>
      </c>
    </row>
    <row r="100" spans="1:5">
      <c r="A100" s="54" t="s">
        <v>269</v>
      </c>
      <c r="B100" s="52">
        <v>71857.382745606592</v>
      </c>
      <c r="C100" s="53">
        <v>0.26329875264603469</v>
      </c>
      <c r="D100" s="53">
        <v>2.2646708071089511E-2</v>
      </c>
      <c r="E100" s="53">
        <f t="shared" si="1"/>
        <v>5.9628499866567547E-3</v>
      </c>
    </row>
    <row r="101" spans="1:5">
      <c r="A101" s="54" t="s">
        <v>270</v>
      </c>
      <c r="B101" s="52">
        <v>27054.889362885206</v>
      </c>
      <c r="C101" s="53">
        <v>9.614931524924944E-2</v>
      </c>
      <c r="D101" s="53">
        <v>8.526669882564673E-3</v>
      </c>
      <c r="E101" s="53">
        <f t="shared" si="1"/>
        <v>8.1983347056499144E-4</v>
      </c>
    </row>
    <row r="102" spans="1:5">
      <c r="A102" s="54" t="s">
        <v>271</v>
      </c>
      <c r="B102" s="52">
        <v>101584.38467278588</v>
      </c>
      <c r="C102" s="53">
        <v>2.3646124545927533E-2</v>
      </c>
      <c r="D102" s="53">
        <v>3.201552598165703E-2</v>
      </c>
      <c r="E102" s="53">
        <f t="shared" si="1"/>
        <v>7.57043114765641E-4</v>
      </c>
    </row>
    <row r="103" spans="1:5">
      <c r="A103" s="54" t="s">
        <v>272</v>
      </c>
      <c r="B103" s="52">
        <v>82688.842717392588</v>
      </c>
      <c r="C103" s="53">
        <v>1.7734593409445651E-2</v>
      </c>
      <c r="D103" s="53">
        <v>2.6060371394079473E-2</v>
      </c>
      <c r="E103" s="53">
        <f t="shared" si="1"/>
        <v>4.6217009077314776E-4</v>
      </c>
    </row>
    <row r="104" spans="1:5">
      <c r="A104" s="54" t="s">
        <v>273</v>
      </c>
      <c r="B104" s="52">
        <v>330858.33987168607</v>
      </c>
      <c r="C104" s="53">
        <v>8.8672967047228254E-3</v>
      </c>
      <c r="D104" s="53">
        <v>0.10427393748094042</v>
      </c>
      <c r="E104" s="53">
        <f t="shared" si="1"/>
        <v>9.2462794221321698E-4</v>
      </c>
    </row>
    <row r="105" spans="1:5">
      <c r="A105" s="54" t="s">
        <v>274</v>
      </c>
      <c r="B105" s="52">
        <v>40744.848827953661</v>
      </c>
      <c r="C105" s="53">
        <v>1.0432113770262149E-2</v>
      </c>
      <c r="D105" s="53">
        <v>1.2841223289109523E-2</v>
      </c>
      <c r="E105" s="53">
        <f t="shared" si="1"/>
        <v>1.3396110230133045E-4</v>
      </c>
    </row>
    <row r="106" spans="1:5">
      <c r="A106" s="54" t="s">
        <v>275</v>
      </c>
      <c r="B106" s="52">
        <v>30535.530479022662</v>
      </c>
      <c r="C106" s="53">
        <v>4.4510352086451821E-2</v>
      </c>
      <c r="D106" s="53">
        <v>9.6236352916230141E-3</v>
      </c>
      <c r="E106" s="53">
        <f t="shared" si="1"/>
        <v>4.2835139518174382E-4</v>
      </c>
    </row>
    <row r="107" spans="1:5">
      <c r="A107" s="54" t="s">
        <v>276</v>
      </c>
      <c r="B107" s="52">
        <v>212388.90645872394</v>
      </c>
      <c r="C107" s="53">
        <v>2.8166707179707803E-2</v>
      </c>
      <c r="D107" s="53">
        <v>6.6936887739662901E-2</v>
      </c>
      <c r="E107" s="53">
        <f t="shared" si="1"/>
        <v>1.8853917164840582E-3</v>
      </c>
    </row>
    <row r="108" spans="1:5">
      <c r="A108" s="54" t="s">
        <v>277</v>
      </c>
      <c r="B108" s="52">
        <v>261421.12108557209</v>
      </c>
      <c r="C108" s="53">
        <v>2.3646124545927533E-2</v>
      </c>
      <c r="D108" s="53">
        <v>8.2389972841083833E-2</v>
      </c>
      <c r="E108" s="53">
        <f t="shared" si="1"/>
        <v>1.9482035591358554E-3</v>
      </c>
    </row>
    <row r="109" spans="1:5">
      <c r="A109" s="54" t="s">
        <v>278</v>
      </c>
      <c r="B109" s="52">
        <v>13987.627908838138</v>
      </c>
      <c r="C109" s="53">
        <v>9.614931524924944E-2</v>
      </c>
      <c r="D109" s="53">
        <v>4.4083671538656102E-3</v>
      </c>
      <c r="E109" s="53">
        <f t="shared" si="1"/>
        <v>4.2386148321146106E-4</v>
      </c>
    </row>
    <row r="110" spans="1:5">
      <c r="A110" s="54" t="s">
        <v>279</v>
      </c>
      <c r="B110" s="52">
        <v>43627.078481287048</v>
      </c>
      <c r="C110" s="53">
        <v>1.7734593409445651E-2</v>
      </c>
      <c r="D110" s="53">
        <v>1.3749592214595744E-2</v>
      </c>
      <c r="E110" s="53">
        <f t="shared" si="1"/>
        <v>2.4384342747153491E-4</v>
      </c>
    </row>
    <row r="111" spans="1:5">
      <c r="A111" s="54" t="s">
        <v>280</v>
      </c>
      <c r="B111" s="52">
        <v>77836.396962771963</v>
      </c>
      <c r="C111" s="53">
        <v>1.2518536524314576E-2</v>
      </c>
      <c r="D111" s="53">
        <v>2.4531065451713935E-2</v>
      </c>
      <c r="E111" s="53">
        <f t="shared" si="1"/>
        <v>3.0709303883763236E-4</v>
      </c>
    </row>
    <row r="112" spans="1:5">
      <c r="A112" s="54" t="s">
        <v>281</v>
      </c>
      <c r="B112" s="52">
        <v>14761.237042205697</v>
      </c>
      <c r="C112" s="53">
        <v>5.3203780228336939E-2</v>
      </c>
      <c r="D112" s="53">
        <v>4.6521792652324812E-3</v>
      </c>
      <c r="E112" s="53">
        <f t="shared" si="1"/>
        <v>2.4751352321025495E-4</v>
      </c>
    </row>
    <row r="113" spans="1:5">
      <c r="A113" s="54" t="s">
        <v>282</v>
      </c>
      <c r="B113" s="52">
        <v>16539.436547294972</v>
      </c>
      <c r="C113" s="53">
        <v>9.614931524924944E-2</v>
      </c>
      <c r="D113" s="53">
        <v>5.212599970039946E-3</v>
      </c>
      <c r="E113" s="53">
        <f t="shared" si="1"/>
        <v>5.011879177875989E-4</v>
      </c>
    </row>
    <row r="114" spans="1:5">
      <c r="A114" s="54" t="s">
        <v>283</v>
      </c>
      <c r="B114" s="52">
        <v>7404.5419645077918</v>
      </c>
      <c r="C114" s="53">
        <v>6.6591659566840031E-2</v>
      </c>
      <c r="D114" s="53">
        <v>2.3336293900934231E-3</v>
      </c>
      <c r="E114" s="53">
        <f t="shared" si="1"/>
        <v>1.5540025390027375E-4</v>
      </c>
    </row>
    <row r="115" spans="1:5">
      <c r="A115" s="54" t="s">
        <v>284</v>
      </c>
      <c r="B115" s="52">
        <v>811229.10068756633</v>
      </c>
      <c r="C115" s="53">
        <v>1.2518536524314576E-2</v>
      </c>
      <c r="D115" s="53">
        <v>0.25566849111502116</v>
      </c>
      <c r="E115" s="53">
        <f t="shared" si="1"/>
        <v>3.2005953441397892E-3</v>
      </c>
    </row>
    <row r="116" spans="1:5">
      <c r="A116" s="54" t="s">
        <v>285</v>
      </c>
      <c r="B116" s="52">
        <v>351002.57962967013</v>
      </c>
      <c r="C116" s="53">
        <v>3.2513421250650362E-2</v>
      </c>
      <c r="D116" s="53">
        <v>0.11062263401958512</v>
      </c>
      <c r="E116" s="53">
        <f t="shared" si="1"/>
        <v>3.5967202997352968E-3</v>
      </c>
    </row>
    <row r="117" spans="1:5">
      <c r="A117" s="54" t="s">
        <v>286</v>
      </c>
      <c r="B117" s="52">
        <v>75187.125426737548</v>
      </c>
      <c r="C117" s="53">
        <v>4.4510352086451821E-2</v>
      </c>
      <c r="D117" s="53">
        <v>2.3696116045192634E-2</v>
      </c>
      <c r="E117" s="53">
        <f t="shared" si="1"/>
        <v>1.0547224682529444E-3</v>
      </c>
    </row>
    <row r="118" spans="1:5">
      <c r="A118" s="54" t="s">
        <v>287</v>
      </c>
      <c r="B118" s="52">
        <v>132793.62228307096</v>
      </c>
      <c r="C118" s="53">
        <v>1.7734593409445651E-2</v>
      </c>
      <c r="D118" s="53">
        <v>4.1851488081523613E-2</v>
      </c>
      <c r="E118" s="53">
        <f t="shared" si="1"/>
        <v>7.4221912470608185E-4</v>
      </c>
    </row>
    <row r="119" spans="1:5">
      <c r="A119" s="54" t="s">
        <v>288</v>
      </c>
      <c r="B119" s="52">
        <v>68216.781410522774</v>
      </c>
      <c r="C119" s="53">
        <v>1.7734593409445651E-2</v>
      </c>
      <c r="D119" s="53">
        <v>2.1499329298183913E-2</v>
      </c>
      <c r="E119" s="53">
        <f t="shared" si="1"/>
        <v>3.8128186367907419E-4</v>
      </c>
    </row>
    <row r="120" spans="1:5">
      <c r="A120" s="54" t="s">
        <v>289</v>
      </c>
      <c r="B120" s="52">
        <v>12060.602008847782</v>
      </c>
      <c r="C120" s="53">
        <v>9.614931524924944E-2</v>
      </c>
      <c r="D120" s="53">
        <v>3.8010420421647063E-3</v>
      </c>
      <c r="E120" s="53">
        <f t="shared" si="1"/>
        <v>3.6546758958774523E-4</v>
      </c>
    </row>
    <row r="121" spans="1:5">
      <c r="A121" s="54" t="s">
        <v>290</v>
      </c>
      <c r="B121" s="52">
        <v>178757.02138680895</v>
      </c>
      <c r="C121" s="53">
        <v>0.17751980265729422</v>
      </c>
      <c r="D121" s="53">
        <v>5.6337399503352766E-2</v>
      </c>
      <c r="E121" s="53">
        <f t="shared" si="1"/>
        <v>1.0001004042060328E-2</v>
      </c>
    </row>
    <row r="122" spans="1:5">
      <c r="A122" s="54" t="s">
        <v>291</v>
      </c>
      <c r="B122" s="52">
        <v>90889.149306731269</v>
      </c>
      <c r="C122" s="53">
        <v>5.3203780228336939E-2</v>
      </c>
      <c r="D122" s="53">
        <v>2.8644795461953546E-2</v>
      </c>
      <c r="E122" s="53">
        <f t="shared" si="1"/>
        <v>1.5240114024434397E-3</v>
      </c>
    </row>
    <row r="123" spans="1:5">
      <c r="A123" s="55" t="s">
        <v>292</v>
      </c>
      <c r="B123" s="56">
        <v>3172972.5362309404</v>
      </c>
      <c r="C123" s="53">
        <v>3.7600056757887565E-2</v>
      </c>
      <c r="D123" s="53">
        <v>1</v>
      </c>
      <c r="E123" s="53">
        <f t="shared" si="1"/>
        <v>3.7600056757887565E-2</v>
      </c>
    </row>
    <row r="124" spans="1:5">
      <c r="A124" s="54" t="s">
        <v>293</v>
      </c>
      <c r="B124" s="52">
        <v>310000</v>
      </c>
      <c r="C124" s="53">
        <v>7.3024796391835027E-3</v>
      </c>
      <c r="D124" s="53">
        <v>9.856228083246249E-2</v>
      </c>
      <c r="E124" s="53">
        <f t="shared" si="1"/>
        <v>7.1974904897054376E-4</v>
      </c>
    </row>
    <row r="125" spans="1:5">
      <c r="A125" s="54" t="s">
        <v>294</v>
      </c>
      <c r="B125" s="52">
        <v>43205</v>
      </c>
      <c r="C125" s="53">
        <v>8.1370487408044728E-2</v>
      </c>
      <c r="D125" s="53">
        <v>1.3736720462472717E-2</v>
      </c>
      <c r="E125" s="53">
        <f t="shared" si="1"/>
        <v>1.1177636394194665E-3</v>
      </c>
    </row>
    <row r="126" spans="1:5">
      <c r="A126" s="54" t="s">
        <v>295</v>
      </c>
      <c r="B126" s="52">
        <v>250842.78213946417</v>
      </c>
      <c r="C126" s="53">
        <v>0.11092814309045415</v>
      </c>
      <c r="D126" s="53">
        <v>7.9753666896858311E-2</v>
      </c>
      <c r="E126" s="53">
        <f t="shared" si="1"/>
        <v>8.8469261735231158E-3</v>
      </c>
    </row>
    <row r="127" spans="1:5">
      <c r="A127" s="54" t="s">
        <v>296</v>
      </c>
      <c r="B127" s="52">
        <v>509901.49570210325</v>
      </c>
      <c r="C127" s="53">
        <v>2.3646124545927533E-2</v>
      </c>
      <c r="D127" s="53">
        <v>0.16211953037510765</v>
      </c>
      <c r="E127" s="53">
        <f t="shared" si="1"/>
        <v>3.8334986065770775E-3</v>
      </c>
    </row>
    <row r="128" spans="1:5">
      <c r="A128" s="54" t="s">
        <v>297</v>
      </c>
      <c r="B128" s="52">
        <v>50813.642348674643</v>
      </c>
      <c r="C128" s="53">
        <v>5.3203780228336939E-2</v>
      </c>
      <c r="D128" s="53">
        <v>1.6155833829968966E-2</v>
      </c>
      <c r="E128" s="53">
        <f t="shared" si="1"/>
        <v>8.5955143249519998E-4</v>
      </c>
    </row>
    <row r="129" spans="1:5">
      <c r="A129" s="54" t="s">
        <v>298</v>
      </c>
      <c r="B129" s="52">
        <v>11000</v>
      </c>
      <c r="C129" s="53">
        <v>1.0432113770262149E-2</v>
      </c>
      <c r="D129" s="53">
        <v>3.4973712553454436E-3</v>
      </c>
      <c r="E129" s="53">
        <f t="shared" si="1"/>
        <v>3.6484974832608223E-5</v>
      </c>
    </row>
    <row r="130" spans="1:5">
      <c r="A130" s="54" t="s">
        <v>299</v>
      </c>
      <c r="B130" s="52">
        <v>17937.256175140981</v>
      </c>
      <c r="C130" s="53">
        <v>0.26329875264603469</v>
      </c>
      <c r="D130" s="53">
        <v>5.7030221951550565E-3</v>
      </c>
      <c r="E130" s="53">
        <f t="shared" si="1"/>
        <v>1.501598630296977E-3</v>
      </c>
    </row>
    <row r="131" spans="1:5">
      <c r="A131" s="54" t="s">
        <v>300</v>
      </c>
      <c r="B131" s="52">
        <v>108192.45773732119</v>
      </c>
      <c r="C131" s="53">
        <v>3.7034003884430629E-2</v>
      </c>
      <c r="D131" s="53">
        <v>3.4399017430516717E-2</v>
      </c>
      <c r="E131" s="53">
        <f t="shared" ref="E131:E167" si="2">D131*C131</f>
        <v>1.2739333451423529E-3</v>
      </c>
    </row>
    <row r="132" spans="1:5">
      <c r="A132" s="54" t="s">
        <v>301</v>
      </c>
      <c r="B132" s="52">
        <v>235770.4037349</v>
      </c>
      <c r="C132" s="53">
        <v>7.3024796391835027E-3</v>
      </c>
      <c r="D132" s="53">
        <v>7.4961512080329931E-2</v>
      </c>
      <c r="E132" s="53">
        <f t="shared" si="2"/>
        <v>5.4740491568901748E-4</v>
      </c>
    </row>
    <row r="133" spans="1:5">
      <c r="A133" s="54" t="s">
        <v>302</v>
      </c>
      <c r="B133" s="52">
        <v>11000</v>
      </c>
      <c r="C133" s="53">
        <v>1.7734593409445651E-2</v>
      </c>
      <c r="D133" s="53">
        <v>3.4973712553454436E-3</v>
      </c>
      <c r="E133" s="53">
        <f t="shared" si="2"/>
        <v>6.2024457215433971E-5</v>
      </c>
    </row>
    <row r="134" spans="1:5">
      <c r="A134" s="54" t="s">
        <v>303</v>
      </c>
      <c r="B134" s="52">
        <v>1067582.9333333333</v>
      </c>
      <c r="C134" s="53">
        <v>8.8672967047228254E-3</v>
      </c>
      <c r="D134" s="53">
        <v>0.3394303512488519</v>
      </c>
      <c r="E134" s="53">
        <f t="shared" si="2"/>
        <v>3.0098296351118558E-3</v>
      </c>
    </row>
    <row r="135" spans="1:5">
      <c r="A135" s="54" t="s">
        <v>304</v>
      </c>
      <c r="B135" s="52">
        <v>24800</v>
      </c>
      <c r="C135" s="53">
        <v>3.7034003884430629E-2</v>
      </c>
      <c r="D135" s="53">
        <v>7.8849824665969993E-3</v>
      </c>
      <c r="E135" s="53">
        <f t="shared" si="2"/>
        <v>2.9201247129662068E-4</v>
      </c>
    </row>
    <row r="136" spans="1:5">
      <c r="A136" s="54" t="s">
        <v>305</v>
      </c>
      <c r="B136" s="52">
        <v>504173.45132743364</v>
      </c>
      <c r="C136" s="53">
        <v>7.3024796391835027E-3</v>
      </c>
      <c r="D136" s="53">
        <v>0.1602983396709883</v>
      </c>
      <c r="E136" s="53">
        <f t="shared" si="2"/>
        <v>1.1705753616423132E-3</v>
      </c>
    </row>
    <row r="137" spans="1:5">
      <c r="A137" s="55" t="s">
        <v>306</v>
      </c>
      <c r="B137" s="56">
        <v>3145219.4224983715</v>
      </c>
      <c r="C137" s="53">
        <v>2.3271352692212581E-2</v>
      </c>
      <c r="D137" s="53">
        <v>0.99999999999999989</v>
      </c>
      <c r="E137" s="53">
        <f t="shared" si="2"/>
        <v>2.3271352692212578E-2</v>
      </c>
    </row>
    <row r="138" spans="1:5">
      <c r="A138" s="54" t="s">
        <v>307</v>
      </c>
      <c r="B138" s="52">
        <v>2140085.5677914512</v>
      </c>
      <c r="C138" s="53">
        <v>0</v>
      </c>
      <c r="D138" s="53">
        <v>7.254276382993842E-2</v>
      </c>
      <c r="E138" s="53">
        <f t="shared" si="2"/>
        <v>0</v>
      </c>
    </row>
    <row r="139" spans="1:5">
      <c r="A139" s="54" t="s">
        <v>308</v>
      </c>
      <c r="B139" s="52">
        <v>27360935</v>
      </c>
      <c r="C139" s="53">
        <v>4.0328864846280845E-3</v>
      </c>
      <c r="D139" s="53">
        <v>0.92745723617006159</v>
      </c>
      <c r="E139" s="53">
        <f t="shared" si="2"/>
        <v>3.740329752820759E-3</v>
      </c>
    </row>
    <row r="140" spans="1:5">
      <c r="A140" s="55" t="s">
        <v>309</v>
      </c>
      <c r="B140" s="57">
        <v>29501020.567791451</v>
      </c>
      <c r="C140" s="53">
        <v>3.740329752820759E-3</v>
      </c>
      <c r="D140" s="53">
        <v>1</v>
      </c>
      <c r="E140" s="53">
        <f t="shared" si="2"/>
        <v>3.740329752820759E-3</v>
      </c>
    </row>
    <row r="141" spans="1:5">
      <c r="A141" s="54" t="s">
        <v>310</v>
      </c>
      <c r="B141" s="52">
        <v>3352</v>
      </c>
      <c r="C141" s="53">
        <v>2.3646124545927533E-2</v>
      </c>
      <c r="D141" s="53">
        <v>1.526064281372957E-4</v>
      </c>
      <c r="E141" s="53">
        <f t="shared" si="2"/>
        <v>3.608550606243634E-6</v>
      </c>
    </row>
    <row r="142" spans="1:5">
      <c r="A142" s="54" t="s">
        <v>311</v>
      </c>
      <c r="B142" s="52">
        <v>516034.14411595033</v>
      </c>
      <c r="C142" s="53">
        <v>4.0328864846280845E-3</v>
      </c>
      <c r="D142" s="53">
        <v>2.3493474800245127E-2</v>
      </c>
      <c r="E142" s="53">
        <f t="shared" si="2"/>
        <v>9.4746516998859065E-5</v>
      </c>
    </row>
    <row r="143" spans="1:5">
      <c r="A143" s="54" t="s">
        <v>312</v>
      </c>
      <c r="B143" s="52">
        <v>632216.57707510924</v>
      </c>
      <c r="C143" s="53">
        <v>8.8672967047228254E-3</v>
      </c>
      <c r="D143" s="53">
        <v>2.8782909796127604E-2</v>
      </c>
      <c r="E143" s="53">
        <f t="shared" si="2"/>
        <v>2.5522660118753666E-4</v>
      </c>
    </row>
    <row r="144" spans="1:5">
      <c r="A144" s="54" t="s">
        <v>313</v>
      </c>
      <c r="B144" s="52">
        <v>32229.622669195112</v>
      </c>
      <c r="C144" s="53">
        <v>1.7734593409445651E-2</v>
      </c>
      <c r="D144" s="53">
        <v>1.4673173018373152E-3</v>
      </c>
      <c r="E144" s="53">
        <f t="shared" si="2"/>
        <v>2.6022275750729626E-5</v>
      </c>
    </row>
    <row r="145" spans="1:5">
      <c r="A145" s="54" t="s">
        <v>314</v>
      </c>
      <c r="B145" s="52">
        <v>404198.75753797416</v>
      </c>
      <c r="C145" s="53">
        <v>0</v>
      </c>
      <c r="D145" s="53">
        <v>1.8401947686576093E-2</v>
      </c>
      <c r="E145" s="53">
        <f t="shared" si="2"/>
        <v>0</v>
      </c>
    </row>
    <row r="146" spans="1:5">
      <c r="A146" s="54" t="s">
        <v>315</v>
      </c>
      <c r="B146" s="52">
        <v>300187.20269608375</v>
      </c>
      <c r="C146" s="53">
        <v>4.0328864846280845E-3</v>
      </c>
      <c r="D146" s="53">
        <v>1.3666615983286315E-2</v>
      </c>
      <c r="E146" s="53">
        <f t="shared" si="2"/>
        <v>5.5115910889597538E-5</v>
      </c>
    </row>
    <row r="147" spans="1:5">
      <c r="A147" s="54" t="s">
        <v>316</v>
      </c>
      <c r="B147" s="52">
        <v>3030904.0896078963</v>
      </c>
      <c r="C147" s="53">
        <v>8.8672967047228254E-3</v>
      </c>
      <c r="D147" s="53">
        <v>0.13798790189194007</v>
      </c>
      <c r="E147" s="53">
        <f t="shared" si="2"/>
        <v>1.2235796677380168E-3</v>
      </c>
    </row>
    <row r="148" spans="1:5">
      <c r="A148" s="54" t="s">
        <v>317</v>
      </c>
      <c r="B148" s="52">
        <v>4456081.016705961</v>
      </c>
      <c r="C148" s="53">
        <v>0</v>
      </c>
      <c r="D148" s="53">
        <v>0.20287189959722729</v>
      </c>
      <c r="E148" s="53">
        <f t="shared" si="2"/>
        <v>0</v>
      </c>
    </row>
    <row r="149" spans="1:5">
      <c r="A149" s="54" t="s">
        <v>318</v>
      </c>
      <c r="B149" s="52">
        <v>238206.31263252773</v>
      </c>
      <c r="C149" s="53">
        <v>3.2513421250650362E-2</v>
      </c>
      <c r="D149" s="53">
        <v>1.0844813404118747E-2</v>
      </c>
      <c r="E149" s="53">
        <f t="shared" si="2"/>
        <v>3.5260198659281235E-4</v>
      </c>
    </row>
    <row r="150" spans="1:5">
      <c r="A150" s="54" t="s">
        <v>319</v>
      </c>
      <c r="B150" s="52">
        <v>3446</v>
      </c>
      <c r="C150" s="53">
        <v>1.0432113770262149E-2</v>
      </c>
      <c r="D150" s="53">
        <v>1.5688596400988098E-4</v>
      </c>
      <c r="E150" s="53">
        <f t="shared" si="2"/>
        <v>1.6366522255083313E-6</v>
      </c>
    </row>
    <row r="151" spans="1:5">
      <c r="A151" s="54" t="s">
        <v>320</v>
      </c>
      <c r="B151" s="52">
        <v>31020.032583197215</v>
      </c>
      <c r="C151" s="53">
        <v>1.0432113770262149E-2</v>
      </c>
      <c r="D151" s="53">
        <v>1.4122483213676186E-3</v>
      </c>
      <c r="E151" s="53">
        <f t="shared" si="2"/>
        <v>1.4732735160368739E-5</v>
      </c>
    </row>
    <row r="152" spans="1:5">
      <c r="A152" s="54" t="s">
        <v>321</v>
      </c>
      <c r="B152" s="52">
        <v>545629.45040373516</v>
      </c>
      <c r="C152" s="53">
        <v>8.8672967047228254E-3</v>
      </c>
      <c r="D152" s="53">
        <v>2.4840859639806014E-2</v>
      </c>
      <c r="E152" s="53">
        <f t="shared" si="2"/>
        <v>2.2027127282653409E-4</v>
      </c>
    </row>
    <row r="153" spans="1:5">
      <c r="A153" s="54" t="s">
        <v>322</v>
      </c>
      <c r="B153" s="52">
        <v>0</v>
      </c>
      <c r="C153" s="53">
        <v>8.8672967047228254E-3</v>
      </c>
      <c r="D153" s="53">
        <v>0</v>
      </c>
      <c r="E153" s="53">
        <f t="shared" si="2"/>
        <v>0</v>
      </c>
    </row>
    <row r="154" spans="1:5">
      <c r="A154" s="54" t="s">
        <v>323</v>
      </c>
      <c r="B154" s="52">
        <v>2254851.2127318047</v>
      </c>
      <c r="C154" s="53">
        <v>3.2513421250650362E-2</v>
      </c>
      <c r="D154" s="53">
        <v>0.10265656013008659</v>
      </c>
      <c r="E154" s="53">
        <f t="shared" si="2"/>
        <v>3.3377159836522241E-3</v>
      </c>
    </row>
    <row r="155" spans="1:5">
      <c r="A155" s="54" t="s">
        <v>324</v>
      </c>
      <c r="B155" s="52">
        <v>4890</v>
      </c>
      <c r="C155" s="53">
        <v>8.8672967047228254E-3</v>
      </c>
      <c r="D155" s="53">
        <v>2.2262691932916945E-4</v>
      </c>
      <c r="E155" s="53">
        <f t="shared" si="2"/>
        <v>1.9740989481501386E-6</v>
      </c>
    </row>
    <row r="156" spans="1:5">
      <c r="A156" s="54" t="s">
        <v>325</v>
      </c>
      <c r="B156" s="52">
        <v>7364.6545151398359</v>
      </c>
      <c r="C156" s="53">
        <v>0</v>
      </c>
      <c r="D156" s="53">
        <v>3.3529045943338237E-4</v>
      </c>
      <c r="E156" s="53">
        <f t="shared" si="2"/>
        <v>0</v>
      </c>
    </row>
    <row r="157" spans="1:5">
      <c r="A157" s="54" t="s">
        <v>326</v>
      </c>
      <c r="B157" s="52">
        <v>85755.006123597588</v>
      </c>
      <c r="C157" s="53">
        <v>0</v>
      </c>
      <c r="D157" s="53">
        <v>3.9041662229755813E-3</v>
      </c>
      <c r="E157" s="53">
        <f t="shared" si="2"/>
        <v>0</v>
      </c>
    </row>
    <row r="158" spans="1:5">
      <c r="A158" s="54" t="s">
        <v>327</v>
      </c>
      <c r="B158" s="52">
        <v>20956.999452431664</v>
      </c>
      <c r="C158" s="53">
        <v>1.2518536524314576E-2</v>
      </c>
      <c r="D158" s="53">
        <v>9.5410883977054245E-4</v>
      </c>
      <c r="E158" s="53">
        <f t="shared" si="2"/>
        <v>1.1944046358838939E-5</v>
      </c>
    </row>
    <row r="159" spans="1:5">
      <c r="A159" s="54" t="s">
        <v>328</v>
      </c>
      <c r="B159" s="52">
        <v>1118124.7498862941</v>
      </c>
      <c r="C159" s="53">
        <v>0</v>
      </c>
      <c r="D159" s="53">
        <v>5.0904840182593822E-2</v>
      </c>
      <c r="E159" s="53">
        <f t="shared" si="2"/>
        <v>0</v>
      </c>
    </row>
    <row r="160" spans="1:5">
      <c r="A160" s="54" t="s">
        <v>329</v>
      </c>
      <c r="B160" s="52">
        <v>485513.31650363043</v>
      </c>
      <c r="C160" s="53">
        <v>0</v>
      </c>
      <c r="D160" s="53">
        <v>2.21039537722886E-2</v>
      </c>
      <c r="E160" s="53">
        <f t="shared" si="2"/>
        <v>0</v>
      </c>
    </row>
    <row r="161" spans="1:5">
      <c r="A161" s="54" t="s">
        <v>330</v>
      </c>
      <c r="B161" s="52">
        <v>287080.01357449719</v>
      </c>
      <c r="C161" s="53">
        <v>1.7734593409445651E-2</v>
      </c>
      <c r="D161" s="53">
        <v>1.3069885280790687E-2</v>
      </c>
      <c r="E161" s="53">
        <f t="shared" si="2"/>
        <v>2.3178910136292124E-4</v>
      </c>
    </row>
    <row r="162" spans="1:5">
      <c r="A162" s="54" t="s">
        <v>331</v>
      </c>
      <c r="B162" s="52">
        <v>1580694.7125157141</v>
      </c>
      <c r="C162" s="53">
        <v>2.3646124545927533E-2</v>
      </c>
      <c r="D162" s="53">
        <v>7.1964252402306875E-2</v>
      </c>
      <c r="E162" s="53">
        <f t="shared" si="2"/>
        <v>1.7016756751595131E-3</v>
      </c>
    </row>
    <row r="163" spans="1:5">
      <c r="A163" s="54" t="s">
        <v>332</v>
      </c>
      <c r="B163" s="52">
        <v>593267.70103340817</v>
      </c>
      <c r="C163" s="53">
        <v>0</v>
      </c>
      <c r="D163" s="53">
        <v>2.7009685198070836E-2</v>
      </c>
      <c r="E163" s="53">
        <f t="shared" si="2"/>
        <v>0</v>
      </c>
    </row>
    <row r="164" spans="1:5">
      <c r="A164" s="54" t="s">
        <v>333</v>
      </c>
      <c r="B164" s="52">
        <v>884940.40223040886</v>
      </c>
      <c r="C164" s="53">
        <v>0</v>
      </c>
      <c r="D164" s="53">
        <v>4.0288661664309201E-2</v>
      </c>
      <c r="E164" s="53">
        <f t="shared" si="2"/>
        <v>0</v>
      </c>
    </row>
    <row r="165" spans="1:5">
      <c r="A165" s="54" t="s">
        <v>334</v>
      </c>
      <c r="B165" s="52">
        <v>1108022.3732595111</v>
      </c>
      <c r="C165" s="53">
        <v>6.6591659566840031E-2</v>
      </c>
      <c r="D165" s="53">
        <v>5.0444909510543978E-2</v>
      </c>
      <c r="E165" s="53">
        <f t="shared" si="2"/>
        <v>3.3592102410061955E-3</v>
      </c>
    </row>
    <row r="166" spans="1:5">
      <c r="A166" s="54" t="s">
        <v>335</v>
      </c>
      <c r="B166" s="52">
        <v>3340032.3806680357</v>
      </c>
      <c r="C166" s="53">
        <v>8.8672967047228254E-3</v>
      </c>
      <c r="D166" s="53">
        <v>0.15206157860282138</v>
      </c>
      <c r="E166" s="53">
        <f t="shared" si="2"/>
        <v>1.348375134859749E-3</v>
      </c>
    </row>
    <row r="167" spans="1:5">
      <c r="A167" s="55" t="s">
        <v>336</v>
      </c>
      <c r="B167" s="57">
        <v>21964998.728522103</v>
      </c>
      <c r="C167" s="53">
        <v>1.2240226451323799E-2</v>
      </c>
      <c r="D167" s="53">
        <v>1</v>
      </c>
      <c r="E167" s="53">
        <f t="shared" si="2"/>
        <v>1.2240226451323799E-2</v>
      </c>
    </row>
    <row r="170" spans="1:5">
      <c r="A170" s="58" t="s">
        <v>337</v>
      </c>
      <c r="B170" s="59" t="s">
        <v>338</v>
      </c>
      <c r="C170" t="s">
        <v>339</v>
      </c>
      <c r="D170" s="53" t="s">
        <v>340</v>
      </c>
    </row>
    <row r="171" spans="1:5">
      <c r="A171" s="60" t="str">
        <f>A32</f>
        <v>Africa</v>
      </c>
      <c r="B171" s="61">
        <f>E32</f>
        <v>2.3599969907680079E-2</v>
      </c>
      <c r="C171">
        <v>2349249.4267625553</v>
      </c>
      <c r="D171" s="53" t="e">
        <v>#N/A</v>
      </c>
    </row>
    <row r="172" spans="1:5">
      <c r="A172" s="60" t="str">
        <f>A57</f>
        <v>Asia</v>
      </c>
      <c r="B172" s="61">
        <f>E57</f>
        <v>1.7068462953183608E-2</v>
      </c>
      <c r="C172">
        <v>33158416.550189212</v>
      </c>
      <c r="D172" s="53">
        <v>5.5518404422589731E-3</v>
      </c>
    </row>
    <row r="173" spans="1:5">
      <c r="A173" s="60" t="str">
        <f>A61</f>
        <v>Australia &amp; New Zealand</v>
      </c>
      <c r="B173" s="61">
        <f>E61</f>
        <v>4.7586939603825173E-5</v>
      </c>
      <c r="C173">
        <v>1978706.9185668521</v>
      </c>
      <c r="D173" s="53">
        <v>9.2367252819714525E-7</v>
      </c>
    </row>
    <row r="174" spans="1:5">
      <c r="A174" s="60" t="str">
        <f>A76</f>
        <v>Caribbean</v>
      </c>
      <c r="B174" s="61">
        <f>E76</f>
        <v>8.9534905799997552E-2</v>
      </c>
      <c r="C174">
        <v>352610.57016704662</v>
      </c>
      <c r="D174" s="53">
        <v>3.0969663549514477E-4</v>
      </c>
    </row>
    <row r="175" spans="1:5">
      <c r="A175" s="60" t="str">
        <f>A96</f>
        <v>Central and South America</v>
      </c>
      <c r="B175" s="61">
        <f>E96</f>
        <v>5.09249194830022E-2</v>
      </c>
      <c r="C175">
        <v>6318352.4759793812</v>
      </c>
      <c r="D175" s="53">
        <v>3.1563341930018166E-3</v>
      </c>
    </row>
    <row r="176" spans="1:5">
      <c r="A176" s="60" t="str">
        <f>A123</f>
        <v>Eastern Europe</v>
      </c>
      <c r="B176" s="61">
        <f>E123</f>
        <v>3.7600056757887565E-2</v>
      </c>
      <c r="C176">
        <v>3172972.5362309404</v>
      </c>
      <c r="D176" s="53">
        <v>1.1703172134840288E-3</v>
      </c>
    </row>
    <row r="177" spans="1:4">
      <c r="A177" s="60" t="str">
        <f>A137</f>
        <v>Middle East</v>
      </c>
      <c r="B177" s="61">
        <f>E137</f>
        <v>2.3271352692212578E-2</v>
      </c>
      <c r="C177">
        <v>3145219.4224983715</v>
      </c>
      <c r="D177" s="53">
        <v>7.1799489499724289E-4</v>
      </c>
    </row>
    <row r="178" spans="1:4">
      <c r="A178" s="60" t="str">
        <f>A140</f>
        <v>North America</v>
      </c>
      <c r="B178" s="61">
        <f>E140</f>
        <v>3.740329752820759E-3</v>
      </c>
      <c r="C178">
        <v>29501020.567791451</v>
      </c>
      <c r="D178" s="53">
        <v>1.0824197591916766E-3</v>
      </c>
    </row>
    <row r="179" spans="1:4">
      <c r="A179" s="60" t="str">
        <f>A167</f>
        <v>Western Europe</v>
      </c>
      <c r="B179" s="61">
        <f>E167</f>
        <v>1.2240226451323799E-2</v>
      </c>
      <c r="C179">
        <v>21964998.728522103</v>
      </c>
      <c r="D179" s="53">
        <v>2.6373599953447859E-3</v>
      </c>
    </row>
    <row r="180" spans="1:4">
      <c r="A180" s="60" t="s">
        <v>341</v>
      </c>
      <c r="B180" s="61">
        <f>SUM(H171:H179)</f>
        <v>0</v>
      </c>
      <c r="C180">
        <v>101941547.19670792</v>
      </c>
      <c r="D180" s="53" t="e">
        <v>#N/A</v>
      </c>
    </row>
    <row r="181" spans="1:4">
      <c r="A181" s="62"/>
      <c r="B181" s="63"/>
    </row>
    <row r="182" spans="1:4">
      <c r="B182"/>
    </row>
    <row r="183" spans="1:4">
      <c r="A183" s="59"/>
      <c r="B183" s="59" t="s">
        <v>342</v>
      </c>
    </row>
    <row r="184" spans="1:4">
      <c r="A184" s="60" t="s">
        <v>343</v>
      </c>
      <c r="B184" s="64" t="e">
        <f>(B171*F171+B177*F177)/(F171+F177)</f>
        <v>#DIV/0!</v>
      </c>
    </row>
    <row r="185" spans="1:4">
      <c r="A185" s="60" t="s">
        <v>344</v>
      </c>
      <c r="B185" s="64">
        <f>(B173*F173+E138*B138)/(F173+B138)</f>
        <v>0</v>
      </c>
    </row>
    <row r="186" spans="1:4">
      <c r="A186" s="60" t="s">
        <v>345</v>
      </c>
      <c r="B186" s="64" t="e">
        <f>B175*(F175/(F175+F174))+B174*F174/(F174+F175)</f>
        <v>#DIV/0!</v>
      </c>
    </row>
    <row r="187" spans="1:4">
      <c r="A187" s="60" t="s">
        <v>209</v>
      </c>
      <c r="B187" s="61">
        <f>E40</f>
        <v>1.3254530157732773E-3</v>
      </c>
    </row>
    <row r="188" spans="1:4">
      <c r="A188" s="60" t="s">
        <v>346</v>
      </c>
      <c r="B188" s="61">
        <f>E139</f>
        <v>3.740329752820759E-3</v>
      </c>
    </row>
    <row r="189" spans="1:4">
      <c r="A189" s="60" t="s">
        <v>347</v>
      </c>
      <c r="B189" s="61">
        <f>E167</f>
        <v>1.2240226451323799E-2</v>
      </c>
    </row>
    <row r="190" spans="1:4">
      <c r="A190" s="60" t="s">
        <v>348</v>
      </c>
      <c r="B190" s="64">
        <f>(B171*F171+B172*F172+B174*F174+B175*F175+B176*F176+B177*F177-B187*B41)/(F171+F172+F174+F175+F176+F177-B41)</f>
        <v>1.3254530157732773E-3</v>
      </c>
    </row>
    <row r="191" spans="1:4">
      <c r="A191" s="60" t="s">
        <v>349</v>
      </c>
      <c r="B191" s="64">
        <f>(B172*F172-B35*E35-B38*E38-B40*E40)/(F172-(B35+B38+B40))</f>
        <v>4.5999866388373462E-3</v>
      </c>
    </row>
    <row r="192" spans="1:4">
      <c r="A192" s="60" t="s">
        <v>207</v>
      </c>
      <c r="B192" s="64">
        <f>E38</f>
        <v>3.4808661335551183E-3</v>
      </c>
    </row>
    <row r="193" spans="1:2">
      <c r="A193" s="60" t="s">
        <v>204</v>
      </c>
      <c r="B193" s="61">
        <f>E35</f>
        <v>5.5984938217743044E-3</v>
      </c>
    </row>
    <row r="194" spans="1:2">
      <c r="A194" s="60" t="s">
        <v>341</v>
      </c>
      <c r="B194" s="61">
        <f>B180</f>
        <v>0</v>
      </c>
    </row>
    <row r="196" spans="1:2">
      <c r="B196"/>
    </row>
    <row r="197" spans="1:2">
      <c r="A197" s="59"/>
      <c r="B197" s="59" t="s">
        <v>342</v>
      </c>
    </row>
    <row r="198" spans="1:2">
      <c r="A198" s="60" t="s">
        <v>25</v>
      </c>
      <c r="B198" s="64" t="e">
        <f>(B179*F179+B177*F177+B171*F171)/(F171+F177+F179)</f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2990-3229-8B4E-A0E7-F2F7738EF58F}">
  <dimension ref="A1:F24"/>
  <sheetViews>
    <sheetView tabSelected="1" zoomScale="125" workbookViewId="0">
      <selection activeCell="F8" sqref="F8"/>
    </sheetView>
  </sheetViews>
  <sheetFormatPr baseColWidth="10" defaultRowHeight="16"/>
  <cols>
    <col min="1" max="1" width="24" bestFit="1" customWidth="1"/>
    <col min="2" max="2" width="24.5" bestFit="1" customWidth="1"/>
    <col min="6" max="6" width="13.5" bestFit="1" customWidth="1"/>
  </cols>
  <sheetData>
    <row r="1" spans="1:6">
      <c r="A1" s="6" t="s">
        <v>359</v>
      </c>
    </row>
    <row r="2" spans="1:6">
      <c r="A2" t="s">
        <v>360</v>
      </c>
      <c r="B2" s="5">
        <v>2.7199999999999998E-2</v>
      </c>
      <c r="C2" s="75" t="s">
        <v>160</v>
      </c>
      <c r="D2" t="s">
        <v>383</v>
      </c>
      <c r="E2" s="60" t="s">
        <v>40</v>
      </c>
      <c r="F2" s="151">
        <f>'Financial Statements'!E68+'Financial Statements'!E64</f>
        <v>1657104</v>
      </c>
    </row>
    <row r="3" spans="1:6">
      <c r="A3" s="6" t="s">
        <v>361</v>
      </c>
      <c r="E3" s="60" t="s">
        <v>380</v>
      </c>
      <c r="F3" s="152">
        <f>'Financial Statements'!F54+'Financial Statements'!E55+'Financial Statements'!E60</f>
        <v>3740673</v>
      </c>
    </row>
    <row r="4" spans="1:6">
      <c r="A4" t="s">
        <v>362</v>
      </c>
      <c r="B4" t="s">
        <v>363</v>
      </c>
      <c r="E4" s="60" t="s">
        <v>381</v>
      </c>
      <c r="F4" s="152">
        <f>F3+F2</f>
        <v>5397777</v>
      </c>
    </row>
    <row r="5" spans="1:6">
      <c r="A5" t="s">
        <v>364</v>
      </c>
      <c r="B5" s="5">
        <v>1.5800000000000002E-2</v>
      </c>
      <c r="C5" t="s">
        <v>366</v>
      </c>
      <c r="D5" t="s">
        <v>383</v>
      </c>
      <c r="E5" s="60" t="s">
        <v>29</v>
      </c>
      <c r="F5" s="130">
        <v>0.25</v>
      </c>
    </row>
    <row r="6" spans="1:6">
      <c r="A6" t="s">
        <v>365</v>
      </c>
      <c r="B6" s="72">
        <f>B5+B2</f>
        <v>4.2999999999999997E-2</v>
      </c>
    </row>
    <row r="7" spans="1:6">
      <c r="E7" s="20" t="s">
        <v>382</v>
      </c>
      <c r="F7" s="76">
        <f>(F3/F4*B18)+(F2/F4*B24*(1-F5))</f>
        <v>9.026233169576027E-2</v>
      </c>
    </row>
    <row r="8" spans="1:6">
      <c r="A8" t="s">
        <v>375</v>
      </c>
    </row>
    <row r="9" spans="1:6">
      <c r="A9" t="s">
        <v>368</v>
      </c>
      <c r="B9" s="5">
        <f>B6</f>
        <v>4.2999999999999997E-2</v>
      </c>
    </row>
    <row r="10" spans="1:6">
      <c r="A10" t="s">
        <v>167</v>
      </c>
      <c r="B10" s="5">
        <f>'Mature MRP'!B18</f>
        <v>5.2732649999999992E-2</v>
      </c>
    </row>
    <row r="11" spans="1:6">
      <c r="A11" t="s">
        <v>38</v>
      </c>
      <c r="B11" s="13">
        <f>Beta!B110</f>
        <v>0.80233504164604541</v>
      </c>
    </row>
    <row r="12" spans="1:6">
      <c r="A12" t="s">
        <v>370</v>
      </c>
      <c r="B12" s="5">
        <f>'Geography CRP &amp; Lambda'!M8</f>
        <v>1.686576499182578E-2</v>
      </c>
    </row>
    <row r="13" spans="1:6">
      <c r="A13" t="s">
        <v>369</v>
      </c>
      <c r="B13" s="13">
        <f>'Geography CRP &amp; Lambda'!L8</f>
        <v>1.0551289117350291</v>
      </c>
    </row>
    <row r="14" spans="1:6">
      <c r="A14" t="s">
        <v>374</v>
      </c>
      <c r="B14" s="5">
        <f>'Geography CRP &amp; Lambda'!M12</f>
        <v>1.2818652557336951E-2</v>
      </c>
    </row>
    <row r="15" spans="1:6">
      <c r="A15" t="s">
        <v>373</v>
      </c>
      <c r="B15" s="13">
        <f>'Geography CRP &amp; Lambda'!L12</f>
        <v>0.40881073041879762</v>
      </c>
    </row>
    <row r="16" spans="1:6">
      <c r="A16" t="s">
        <v>372</v>
      </c>
      <c r="B16" s="5">
        <f>'Geography CRP &amp; Lambda'!M15</f>
        <v>1.6109951788828153E-2</v>
      </c>
    </row>
    <row r="17" spans="1:5">
      <c r="A17" t="s">
        <v>371</v>
      </c>
      <c r="B17" s="13">
        <f>'Geography CRP &amp; Lambda'!L15</f>
        <v>0.1531061311800001</v>
      </c>
    </row>
    <row r="18" spans="1:5">
      <c r="A18" s="20" t="s">
        <v>367</v>
      </c>
      <c r="B18" s="74">
        <f>B9+(B11*B10)+(B13*B12)+(B15*B14)+(B17*B16)</f>
        <v>0.11081174430209371</v>
      </c>
    </row>
    <row r="20" spans="1:5">
      <c r="A20" t="s">
        <v>376</v>
      </c>
    </row>
    <row r="21" spans="1:5">
      <c r="A21" t="s">
        <v>362</v>
      </c>
      <c r="B21" t="s">
        <v>363</v>
      </c>
    </row>
    <row r="22" spans="1:5">
      <c r="A22" t="s">
        <v>378</v>
      </c>
      <c r="B22" s="5">
        <v>1.55E-2</v>
      </c>
      <c r="C22" t="s">
        <v>379</v>
      </c>
      <c r="D22" t="s">
        <v>383</v>
      </c>
      <c r="E22" t="s">
        <v>383</v>
      </c>
    </row>
    <row r="23" spans="1:5">
      <c r="A23" t="s">
        <v>368</v>
      </c>
      <c r="B23" s="5">
        <f>B6</f>
        <v>4.2999999999999997E-2</v>
      </c>
    </row>
    <row r="24" spans="1:5">
      <c r="A24" s="20" t="s">
        <v>376</v>
      </c>
      <c r="B24" s="74">
        <f>B23+B22</f>
        <v>5.8499999999999996E-2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Valuation</vt:lpstr>
      <vt:lpstr>Revenue Prediction</vt:lpstr>
      <vt:lpstr>Financial Statements</vt:lpstr>
      <vt:lpstr>CapEx Readjustments</vt:lpstr>
      <vt:lpstr>Beta</vt:lpstr>
      <vt:lpstr>Mature MRP</vt:lpstr>
      <vt:lpstr>Geography CRP &amp; Lambda</vt:lpstr>
      <vt:lpstr>Damodaran CRP by Country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Khan</dc:creator>
  <cp:lastModifiedBy>Maaz Khan</cp:lastModifiedBy>
  <dcterms:created xsi:type="dcterms:W3CDTF">2025-07-03T13:08:15Z</dcterms:created>
  <dcterms:modified xsi:type="dcterms:W3CDTF">2025-08-20T12:15:59Z</dcterms:modified>
</cp:coreProperties>
</file>