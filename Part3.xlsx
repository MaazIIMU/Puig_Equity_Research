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az/Documents/IIMU/Term IV/CV B/"/>
    </mc:Choice>
  </mc:AlternateContent>
  <xr:revisionPtr revIDLastSave="0" documentId="13_ncr:1_{4D104568-5837-0048-96DC-B22A9B358A3A}" xr6:coauthVersionLast="47" xr6:coauthVersionMax="47" xr10:uidLastSave="{00000000-0000-0000-0000-000000000000}"/>
  <bookViews>
    <workbookView xWindow="0" yWindow="740" windowWidth="29400" windowHeight="18380" activeTab="1" xr2:uid="{722DF84B-DE51-A641-962A-0C56FBC00BC6}"/>
  </bookViews>
  <sheets>
    <sheet name="DCF" sheetId="4" r:id="rId1"/>
    <sheet name="Monte Carlo" sheetId="2" r:id="rId2"/>
    <sheet name="Sensitivity Analysis" sheetId="6" r:id="rId3"/>
    <sheet name="Relative Valuation" sheetId="3" r:id="rId4"/>
    <sheet name="Valuing Associates &amp; JVs" sheetId="1" r:id="rId5"/>
  </sheets>
  <externalReferences>
    <externalReference r:id="rId6"/>
  </externalReferences>
  <definedNames>
    <definedName name="solver_eng" localSheetId="4" hidden="1">1</definedName>
    <definedName name="solver_lin" localSheetId="4" hidden="1">2</definedName>
    <definedName name="solver_neg" localSheetId="4" hidden="1">1</definedName>
    <definedName name="solver_num" localSheetId="4" hidden="1">0</definedName>
    <definedName name="solver_opt" localSheetId="4" hidden="1">'Valuing Associates &amp; JVs'!$G$1</definedName>
    <definedName name="solver_typ" localSheetId="4" hidden="1">1</definedName>
    <definedName name="solver_val" localSheetId="4" hidden="1">0</definedName>
    <definedName name="solver_ver" localSheetId="4" hidden="1">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2" l="1"/>
  <c r="B19" i="6"/>
  <c r="D10" i="6"/>
  <c r="E10" i="6"/>
  <c r="F10" i="6"/>
  <c r="G10" i="6"/>
  <c r="H10" i="6"/>
  <c r="I10" i="6"/>
  <c r="J10" i="6"/>
  <c r="C10" i="6"/>
  <c r="J9" i="6"/>
  <c r="K8" i="6"/>
  <c r="B5" i="6"/>
  <c r="C17" i="3"/>
  <c r="D17" i="3"/>
  <c r="C18" i="3"/>
  <c r="D18" i="3"/>
  <c r="B18" i="3"/>
  <c r="B17" i="3"/>
  <c r="B9" i="2"/>
  <c r="B23" i="4"/>
  <c r="B20" i="4"/>
  <c r="B19" i="4"/>
  <c r="B17" i="4"/>
  <c r="B2" i="4"/>
  <c r="B12" i="6" l="1"/>
  <c r="B13" i="6" s="1"/>
  <c r="B15" i="6" s="1"/>
  <c r="B16" i="6" s="1"/>
  <c r="B4" i="4" l="1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2" i="3"/>
  <c r="F2" i="3" s="1"/>
  <c r="B4" i="2" l="1"/>
  <c r="K12" i="2" s="1"/>
  <c r="I14" i="2"/>
  <c r="B16" i="4" l="1"/>
  <c r="D14" i="2"/>
  <c r="G14" i="2"/>
  <c r="C14" i="2"/>
  <c r="E14" i="2"/>
  <c r="F14" i="2"/>
  <c r="H14" i="2"/>
  <c r="J13" i="2"/>
  <c r="J14" i="2" s="1"/>
  <c r="B16" i="2" l="1"/>
  <c r="B17" i="2" s="1"/>
  <c r="H15" i="1"/>
  <c r="G15" i="1"/>
  <c r="B20" i="1"/>
  <c r="B13" i="1"/>
  <c r="G9" i="1" s="1"/>
  <c r="H9" i="1" s="1"/>
  <c r="H2" i="1"/>
  <c r="B7" i="1"/>
  <c r="G2" i="1" s="1"/>
  <c r="B19" i="2" l="1"/>
  <c r="B20" i="2" l="1"/>
  <c r="B24" i="2" s="1"/>
  <c r="E28" i="2" l="1"/>
  <c r="E26" i="2"/>
  <c r="E27" i="2"/>
  <c r="E25" i="2"/>
  <c r="E24" i="2"/>
</calcChain>
</file>

<file path=xl/sharedStrings.xml><?xml version="1.0" encoding="utf-8"?>
<sst xmlns="http://schemas.openxmlformats.org/spreadsheetml/2006/main" count="145" uniqueCount="104">
  <si>
    <t>Company</t>
  </si>
  <si>
    <t>P/E</t>
  </si>
  <si>
    <t>ROE</t>
  </si>
  <si>
    <t>Beta</t>
  </si>
  <si>
    <t>Inditex</t>
  </si>
  <si>
    <t>Coats Group</t>
  </si>
  <si>
    <t>Pacific Textiles</t>
  </si>
  <si>
    <t>H&amp;M</t>
  </si>
  <si>
    <t>LVMH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</si>
  <si>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</si>
  <si>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</si>
  <si>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</si>
  <si>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</si>
  <si>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</si>
  <si>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</si>
  <si>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</si>
  <si>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</si>
  <si>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</si>
  <si>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</si>
  <si>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</si>
  <si>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</si>
  <si>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</si>
  <si>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</si>
  <si>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</si>
  <si>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</si>
  <si>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</si>
  <si>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</si>
  <si>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</si>
  <si>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</si>
  <si>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</si>
  <si>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</si>
  <si>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</si>
  <si>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</si>
  <si>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Mean</t>
  </si>
  <si>
    <t>Net Profit</t>
  </si>
  <si>
    <t>Market Value</t>
  </si>
  <si>
    <t>Sociedad Textil
Lonia, S.A. (Spain)</t>
  </si>
  <si>
    <t>Ownership</t>
  </si>
  <si>
    <t>Attributable to Puig</t>
  </si>
  <si>
    <t>Hypera S.A.</t>
  </si>
  <si>
    <t>L'Oreal</t>
  </si>
  <si>
    <t>Kimberly-Clark</t>
  </si>
  <si>
    <t>Colgate-Palmolive</t>
  </si>
  <si>
    <t xml:space="preserve">Ponteland
Distribuição, S.A.
(Granado) (Brazil) </t>
  </si>
  <si>
    <t>L’Oréal</t>
  </si>
  <si>
    <t>Beiersdorf</t>
  </si>
  <si>
    <t>Unilever</t>
  </si>
  <si>
    <t>Procter &amp; Gamble</t>
  </si>
  <si>
    <t>Median</t>
  </si>
  <si>
    <t>Isdin, S.A</t>
  </si>
  <si>
    <t>Beijing Yitian
Shidai Trading Co,
LLC (China)</t>
  </si>
  <si>
    <t>BVE used due to negative earnings</t>
  </si>
  <si>
    <t>FY 24</t>
  </si>
  <si>
    <t>FY25E</t>
  </si>
  <si>
    <t>FY26E</t>
  </si>
  <si>
    <t>FY27E</t>
  </si>
  <si>
    <t>FY28E</t>
  </si>
  <si>
    <t>FY29E</t>
  </si>
  <si>
    <t>FY30E</t>
  </si>
  <si>
    <t>FY31E</t>
  </si>
  <si>
    <t>FY32E</t>
  </si>
  <si>
    <t>Tax Rate</t>
  </si>
  <si>
    <t>WACC</t>
  </si>
  <si>
    <t>Long Term Growth Rate</t>
  </si>
  <si>
    <t>Terminal Value</t>
  </si>
  <si>
    <t>Value of Operating Assets</t>
  </si>
  <si>
    <t>All figures in millions</t>
  </si>
  <si>
    <t>All figures in thousands</t>
  </si>
  <si>
    <t>FCFF</t>
  </si>
  <si>
    <t>PV of FCFF</t>
  </si>
  <si>
    <t>Mean Long Term Growth Rate</t>
  </si>
  <si>
    <t>Mean WACC</t>
  </si>
  <si>
    <t>SD of WACC</t>
  </si>
  <si>
    <t>SD of Long Term Growth Rate</t>
  </si>
  <si>
    <t>Simulation No</t>
  </si>
  <si>
    <t>SD</t>
  </si>
  <si>
    <t>Minimum</t>
  </si>
  <si>
    <t>Maximum</t>
  </si>
  <si>
    <t>Proportion Upside</t>
  </si>
  <si>
    <t>PUIG BRANDS SA-B</t>
  </si>
  <si>
    <t>ELF BEAUTY INC</t>
  </si>
  <si>
    <t>AMOREPACIFIC CORP</t>
  </si>
  <si>
    <t>PROYA COSMETICS CO LTD-A</t>
  </si>
  <si>
    <t>INTERPARFUMS INC</t>
  </si>
  <si>
    <t>Inditex (Zara)</t>
  </si>
  <si>
    <t>Proctor &amp; Gamble</t>
  </si>
  <si>
    <t>Henkel AG &amp; Co. KGaA</t>
  </si>
  <si>
    <t>Unilever PLC</t>
  </si>
  <si>
    <t>Expected P/E</t>
  </si>
  <si>
    <t>Undervaluation</t>
  </si>
  <si>
    <t>Kenvue Inc</t>
  </si>
  <si>
    <t>Kao Corporation</t>
  </si>
  <si>
    <t>Colgate-Palmolive Company</t>
  </si>
  <si>
    <t>Outstanding Shares</t>
  </si>
  <si>
    <t>Value of Equity</t>
  </si>
  <si>
    <t>Total Debt</t>
  </si>
  <si>
    <t>Cash - FY24</t>
  </si>
  <si>
    <t>Value per Share (as on 31 December, 2024)</t>
  </si>
  <si>
    <t>Cost of Equity</t>
  </si>
  <si>
    <t>Cost of Debt</t>
  </si>
  <si>
    <t>Value per Share (as on 20 August, 2025)</t>
  </si>
  <si>
    <t>Market Price (as on 20 August, 2025)</t>
  </si>
  <si>
    <t>Stock Undervalued By</t>
  </si>
  <si>
    <t>Value Per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</si>
</sst>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9" formatCode="0.000%"/>
    <numFmt numFmtId="171" formatCode="0.000"/>
    <numFmt numFmtId="191" formatCode="_(* #,##0_);_(* \(#,##0\);_(* &quot;-&quot;??_);_(@_)"/>
  </numFmts>
  <fonts count="7" x14ac:knownFonts="1">
    <font>
      <sz val="12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b/>
      <sz val="12"/>
      <color rgb="FF0070C0"/>
      <name val="Aptos Narrow"/>
      <scheme val="minor"/>
    </font>
    <font>
      <b/>
      <sz val="12"/>
      <color rgb="FF00B050"/>
      <name val="Aptos Narrow"/>
      <scheme val="minor"/>
    </font>
    <font>
      <sz val="11"/>
      <color theme="1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10" fontId="0" fillId="0" borderId="0" xfId="0" applyNumberFormat="1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Continuous"/>
    </xf>
    <xf numFmtId="0" fontId="0" fillId="0" borderId="0" xfId="0" applyBorder="1"/>
    <xf numFmtId="0" fontId="1" fillId="0" borderId="0" xfId="0" applyFont="1" applyFill="1" applyBorder="1" applyAlignment="1">
      <alignment horizontal="centerContinuous"/>
    </xf>
    <xf numFmtId="0" fontId="1" fillId="0" borderId="0" xfId="0" applyFont="1" applyFill="1" applyBorder="1" applyAlignment="1">
      <alignment horizontal="center"/>
    </xf>
    <xf numFmtId="3" fontId="0" fillId="0" borderId="0" xfId="0" applyNumberFormat="1"/>
    <xf numFmtId="0" fontId="0" fillId="0" borderId="0" xfId="0" applyAlignment="1">
      <alignment wrapText="1"/>
    </xf>
    <xf numFmtId="9" fontId="0" fillId="0" borderId="0" xfId="0" applyNumberFormat="1" applyAlignment="1">
      <alignment wrapText="1"/>
    </xf>
    <xf numFmtId="0" fontId="0" fillId="0" borderId="0" xfId="0" applyFill="1" applyBorder="1"/>
    <xf numFmtId="9" fontId="0" fillId="0" borderId="0" xfId="0" applyNumberFormat="1"/>
    <xf numFmtId="0" fontId="0" fillId="0" borderId="3" xfId="0" applyBorder="1"/>
    <xf numFmtId="0" fontId="2" fillId="0" borderId="3" xfId="0" applyFont="1" applyBorder="1"/>
    <xf numFmtId="10" fontId="2" fillId="0" borderId="3" xfId="0" applyNumberFormat="1" applyFont="1" applyBorder="1"/>
    <xf numFmtId="0" fontId="2" fillId="0" borderId="0" xfId="0" applyFont="1"/>
    <xf numFmtId="4" fontId="0" fillId="0" borderId="3" xfId="0" applyNumberFormat="1" applyBorder="1"/>
    <xf numFmtId="0" fontId="2" fillId="0" borderId="4" xfId="0" applyFont="1" applyFill="1" applyBorder="1"/>
    <xf numFmtId="169" fontId="2" fillId="0" borderId="3" xfId="0" applyNumberFormat="1" applyFont="1" applyBorder="1"/>
    <xf numFmtId="10" fontId="4" fillId="0" borderId="3" xfId="0" applyNumberFormat="1" applyFont="1" applyBorder="1"/>
    <xf numFmtId="10" fontId="5" fillId="0" borderId="3" xfId="0" applyNumberFormat="1" applyFont="1" applyBorder="1"/>
    <xf numFmtId="0" fontId="2" fillId="0" borderId="3" xfId="0" applyFont="1" applyFill="1" applyBorder="1"/>
    <xf numFmtId="43" fontId="0" fillId="0" borderId="0" xfId="0" applyNumberFormat="1"/>
    <xf numFmtId="39" fontId="0" fillId="0" borderId="0" xfId="0" applyNumberFormat="1"/>
    <xf numFmtId="0" fontId="6" fillId="0" borderId="0" xfId="0" applyFont="1"/>
    <xf numFmtId="169" fontId="6" fillId="0" borderId="0" xfId="0" applyNumberFormat="1" applyFont="1"/>
    <xf numFmtId="171" fontId="6" fillId="0" borderId="0" xfId="0" applyNumberFormat="1" applyFont="1"/>
    <xf numFmtId="10" fontId="0" fillId="0" borderId="0" xfId="0" applyNumberFormat="1" applyAlignment="1">
      <alignment wrapText="1"/>
    </xf>
    <xf numFmtId="10" fontId="0" fillId="2" borderId="0" xfId="0" applyNumberFormat="1" applyFill="1"/>
    <xf numFmtId="0" fontId="6" fillId="3" borderId="0" xfId="0" applyFont="1" applyFill="1"/>
    <xf numFmtId="171" fontId="6" fillId="3" borderId="0" xfId="0" applyNumberFormat="1" applyFont="1" applyFill="1"/>
    <xf numFmtId="169" fontId="6" fillId="3" borderId="0" xfId="0" applyNumberFormat="1" applyFont="1" applyFill="1"/>
    <xf numFmtId="0" fontId="0" fillId="3" borderId="0" xfId="0" applyFill="1"/>
    <xf numFmtId="10" fontId="0" fillId="3" borderId="0" xfId="0" applyNumberFormat="1" applyFill="1"/>
    <xf numFmtId="2" fontId="0" fillId="0" borderId="0" xfId="0" applyNumberFormat="1"/>
    <xf numFmtId="9" fontId="2" fillId="0" borderId="3" xfId="0" applyNumberFormat="1" applyFont="1" applyBorder="1"/>
    <xf numFmtId="3" fontId="2" fillId="0" borderId="3" xfId="0" applyNumberFormat="1" applyFont="1" applyBorder="1"/>
    <xf numFmtId="14" fontId="0" fillId="0" borderId="0" xfId="0" applyNumberFormat="1"/>
    <xf numFmtId="39" fontId="3" fillId="0" borderId="3" xfId="0" applyNumberFormat="1" applyFont="1" applyFill="1" applyBorder="1"/>
    <xf numFmtId="39" fontId="0" fillId="0" borderId="3" xfId="0" applyNumberFormat="1" applyBorder="1"/>
    <xf numFmtId="43" fontId="0" fillId="0" borderId="3" xfId="0" applyNumberFormat="1" applyBorder="1"/>
    <xf numFmtId="0" fontId="0" fillId="2" borderId="3" xfId="0" applyFill="1" applyBorder="1"/>
    <xf numFmtId="2" fontId="0" fillId="2" borderId="3" xfId="0" applyNumberFormat="1" applyFill="1" applyBorder="1"/>
    <xf numFmtId="0" fontId="0" fillId="4" borderId="3" xfId="0" applyFill="1" applyBorder="1"/>
    <xf numFmtId="191" fontId="0" fillId="0" borderId="3" xfId="0" applyNumberFormat="1" applyBorder="1"/>
    <xf numFmtId="2" fontId="2" fillId="0" borderId="0" xfId="0" applyNumberFormat="1" applyFont="1"/>
    <xf numFmtId="0" fontId="0" fillId="0" borderId="0" xfId="0" applyFill="1"/>
    <xf numFmtId="10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maaz/Documents/IIMU/Term%20IV/CV%20B/Rough%20Part%202.xlsx" TargetMode="External"/><Relationship Id="rId1" Type="http://schemas.openxmlformats.org/officeDocument/2006/relationships/externalLinkPath" Target="Rough%20Part%2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aluation"/>
      <sheetName val="Revenue Prediction"/>
      <sheetName val="Financial Statements"/>
      <sheetName val="Sheet2"/>
      <sheetName val="CapEx Readjustments"/>
      <sheetName val="Beta"/>
      <sheetName val="Mature MRP"/>
      <sheetName val="Geography CRP &amp; Lambda"/>
      <sheetName val="Damodaran CRP by Country"/>
      <sheetName val="WAC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7">
          <cell r="F7">
            <v>9.026233169576027E-2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FCB00-CFC8-B74E-B087-01BF19CB0CEF}">
  <dimension ref="A1:K23"/>
  <sheetViews>
    <sheetView zoomScale="125" workbookViewId="0">
      <selection activeCell="I31" sqref="I31"/>
    </sheetView>
  </sheetViews>
  <sheetFormatPr baseColWidth="10" defaultRowHeight="16" x14ac:dyDescent="0.2"/>
  <cols>
    <col min="1" max="1" width="37.5" customWidth="1"/>
    <col min="2" max="2" width="17.33203125" customWidth="1"/>
    <col min="3" max="5" width="14" bestFit="1" customWidth="1"/>
    <col min="6" max="6" width="16" customWidth="1"/>
    <col min="7" max="9" width="14" bestFit="1" customWidth="1"/>
    <col min="10" max="10" width="18.5" bestFit="1" customWidth="1"/>
    <col min="11" max="11" width="16.1640625" customWidth="1"/>
    <col min="12" max="12" width="20.33203125" bestFit="1" customWidth="1"/>
  </cols>
  <sheetData>
    <row r="1" spans="1:11" x14ac:dyDescent="0.2">
      <c r="A1" s="15" t="s">
        <v>96</v>
      </c>
      <c r="B1" s="38">
        <v>882646</v>
      </c>
    </row>
    <row r="2" spans="1:11" x14ac:dyDescent="0.2">
      <c r="A2" s="15" t="s">
        <v>95</v>
      </c>
      <c r="B2" s="15">
        <f>1129931+527173</f>
        <v>1657104</v>
      </c>
    </row>
    <row r="3" spans="1:11" x14ac:dyDescent="0.2">
      <c r="A3" s="15" t="s">
        <v>61</v>
      </c>
      <c r="B3" s="37">
        <v>0.25</v>
      </c>
    </row>
    <row r="4" spans="1:11" x14ac:dyDescent="0.2">
      <c r="A4" s="15" t="s">
        <v>62</v>
      </c>
      <c r="B4" s="16">
        <f>[1]WACC!F7</f>
        <v>9.026233169576027E-2</v>
      </c>
    </row>
    <row r="5" spans="1:11" x14ac:dyDescent="0.2">
      <c r="A5" s="15" t="s">
        <v>98</v>
      </c>
      <c r="B5" s="16">
        <v>0.1108</v>
      </c>
    </row>
    <row r="6" spans="1:11" x14ac:dyDescent="0.2">
      <c r="A6" s="23" t="s">
        <v>99</v>
      </c>
      <c r="B6" s="16">
        <v>5.8500000000000003E-2</v>
      </c>
    </row>
    <row r="10" spans="1:11" x14ac:dyDescent="0.2">
      <c r="A10" s="14"/>
      <c r="B10" s="15" t="s">
        <v>52</v>
      </c>
      <c r="C10" s="15" t="s">
        <v>53</v>
      </c>
      <c r="D10" s="15" t="s">
        <v>54</v>
      </c>
      <c r="E10" s="15" t="s">
        <v>55</v>
      </c>
      <c r="F10" s="15" t="s">
        <v>56</v>
      </c>
      <c r="G10" s="15" t="s">
        <v>57</v>
      </c>
      <c r="H10" s="15" t="s">
        <v>58</v>
      </c>
      <c r="I10" s="15" t="s">
        <v>59</v>
      </c>
      <c r="J10" s="15" t="s">
        <v>60</v>
      </c>
    </row>
    <row r="11" spans="1:11" x14ac:dyDescent="0.2">
      <c r="A11" s="14"/>
      <c r="B11" s="14">
        <v>0</v>
      </c>
      <c r="C11" s="14">
        <v>1</v>
      </c>
      <c r="D11" s="14">
        <v>2</v>
      </c>
      <c r="E11" s="14">
        <v>3</v>
      </c>
      <c r="F11" s="14">
        <v>4</v>
      </c>
      <c r="G11" s="14">
        <v>5</v>
      </c>
      <c r="H11" s="14">
        <v>6</v>
      </c>
      <c r="I11" s="14">
        <v>7</v>
      </c>
      <c r="J11" s="14">
        <v>8</v>
      </c>
    </row>
    <row r="12" spans="1:11" x14ac:dyDescent="0.2">
      <c r="A12" s="14" t="s">
        <v>68</v>
      </c>
      <c r="B12" s="18">
        <v>172123</v>
      </c>
      <c r="C12" s="18">
        <v>144460.07347027096</v>
      </c>
      <c r="D12" s="18">
        <v>213970.12500862975</v>
      </c>
      <c r="E12" s="18">
        <v>233467.88872310636</v>
      </c>
      <c r="F12" s="18">
        <v>255061.57402938639</v>
      </c>
      <c r="G12" s="18">
        <v>277713.76442242181</v>
      </c>
      <c r="H12" s="18">
        <v>297982.716961639</v>
      </c>
      <c r="I12" s="18">
        <v>323052.75930063438</v>
      </c>
      <c r="J12" s="18">
        <v>344665.77610804467</v>
      </c>
      <c r="K12" s="18">
        <v>363111.61523884197</v>
      </c>
    </row>
    <row r="13" spans="1:11" x14ac:dyDescent="0.2">
      <c r="A13" s="14" t="s">
        <v>64</v>
      </c>
      <c r="B13" s="18"/>
      <c r="C13" s="18"/>
      <c r="D13" s="18"/>
      <c r="E13" s="18"/>
      <c r="F13" s="18"/>
      <c r="G13" s="18"/>
      <c r="H13" s="18"/>
      <c r="I13" s="18"/>
      <c r="J13" s="18">
        <v>8986080.0913697835</v>
      </c>
    </row>
    <row r="14" spans="1:11" x14ac:dyDescent="0.2">
      <c r="A14" s="14" t="s">
        <v>69</v>
      </c>
      <c r="B14" s="18"/>
      <c r="C14" s="18">
        <v>132056.49793932945</v>
      </c>
      <c r="D14" s="18">
        <v>178803.91733091237</v>
      </c>
      <c r="E14" s="18">
        <v>178345.84231982811</v>
      </c>
      <c r="F14" s="18">
        <v>178111.84947411215</v>
      </c>
      <c r="G14" s="18">
        <v>177278.93239015993</v>
      </c>
      <c r="H14" s="18">
        <v>173885.24932824305</v>
      </c>
      <c r="I14" s="18">
        <v>172328.48342756741</v>
      </c>
      <c r="J14" s="18">
        <v>4550005.4491219344</v>
      </c>
    </row>
    <row r="16" spans="1:11" x14ac:dyDescent="0.2">
      <c r="A16" s="23" t="s">
        <v>65</v>
      </c>
      <c r="B16" s="40">
        <f>B12+SUM(C14:J14)</f>
        <v>5912939.2213320863</v>
      </c>
      <c r="J16" s="17" t="s">
        <v>66</v>
      </c>
    </row>
    <row r="17" spans="1:5" x14ac:dyDescent="0.2">
      <c r="A17" s="14" t="s">
        <v>94</v>
      </c>
      <c r="B17" s="41">
        <f>B16+B1-B2</f>
        <v>5138481.2213320863</v>
      </c>
    </row>
    <row r="18" spans="1:5" x14ac:dyDescent="0.2">
      <c r="A18" s="14" t="s">
        <v>93</v>
      </c>
      <c r="B18" s="42">
        <v>169930</v>
      </c>
      <c r="D18" s="39"/>
      <c r="E18" s="39"/>
    </row>
    <row r="19" spans="1:5" x14ac:dyDescent="0.2">
      <c r="A19" s="43" t="s">
        <v>97</v>
      </c>
      <c r="B19" s="44">
        <f>B17/B18</f>
        <v>30.238811400765528</v>
      </c>
    </row>
    <row r="20" spans="1:5" x14ac:dyDescent="0.2">
      <c r="A20" s="43" t="s">
        <v>100</v>
      </c>
      <c r="B20" s="44">
        <f>B19*(1+B5)^(232/365)</f>
        <v>32.327463211422263</v>
      </c>
    </row>
    <row r="21" spans="1:5" x14ac:dyDescent="0.2">
      <c r="A21" s="45" t="s">
        <v>101</v>
      </c>
      <c r="B21" s="45">
        <v>16.12</v>
      </c>
    </row>
    <row r="23" spans="1:5" x14ac:dyDescent="0.2">
      <c r="A23" t="s">
        <v>102</v>
      </c>
      <c r="B23" s="1">
        <f>B20/B21-1</f>
        <v>1.0054257575323984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C1D20-D0F0-0C4A-BED1-AD3E64912665}">
  <dimension ref="A1:K1023"/>
  <sheetViews>
    <sheetView tabSelected="1" workbookViewId="0">
      <selection activeCell="E18" sqref="E18"/>
    </sheetView>
  </sheetViews>
  <sheetFormatPr baseColWidth="10" defaultRowHeight="16" x14ac:dyDescent="0.2"/>
  <cols>
    <col min="1" max="1" width="33.1640625" bestFit="1" customWidth="1"/>
    <col min="2" max="2" width="17.33203125" customWidth="1"/>
    <col min="3" max="3" width="14" bestFit="1" customWidth="1"/>
    <col min="4" max="4" width="15.5" customWidth="1"/>
    <col min="5" max="5" width="20.6640625" customWidth="1"/>
    <col min="6" max="6" width="16" customWidth="1"/>
    <col min="7" max="9" width="14" bestFit="1" customWidth="1"/>
    <col min="10" max="10" width="18.5" bestFit="1" customWidth="1"/>
    <col min="11" max="11" width="16.1640625" customWidth="1"/>
    <col min="12" max="12" width="20.33203125" bestFit="1" customWidth="1"/>
  </cols>
  <sheetData>
    <row r="1" spans="1:11" x14ac:dyDescent="0.2">
      <c r="A1" s="15" t="s">
        <v>62</v>
      </c>
      <c r="B1" s="22">
        <f ca="1">NORMINV(RAND(),B2,B3)</f>
        <v>9.1981434571709902E-2</v>
      </c>
      <c r="D1" s="17" t="s">
        <v>67</v>
      </c>
    </row>
    <row r="2" spans="1:11" x14ac:dyDescent="0.2">
      <c r="A2" s="15" t="s">
        <v>71</v>
      </c>
      <c r="B2" s="20">
        <v>9.3926279467445001E-2</v>
      </c>
    </row>
    <row r="3" spans="1:11" x14ac:dyDescent="0.2">
      <c r="A3" s="15" t="s">
        <v>72</v>
      </c>
      <c r="B3" s="21">
        <v>5.0000000000000001E-3</v>
      </c>
    </row>
    <row r="4" spans="1:11" s="17" customFormat="1" x14ac:dyDescent="0.2">
      <c r="A4" s="15" t="s">
        <v>63</v>
      </c>
      <c r="B4" s="22">
        <f ca="1">NORMINV(RAND(),B5,B6)</f>
        <v>5.4801932290010832E-2</v>
      </c>
      <c r="C4"/>
      <c r="D4"/>
      <c r="E4"/>
      <c r="F4"/>
      <c r="G4"/>
      <c r="H4"/>
      <c r="I4"/>
      <c r="J4"/>
      <c r="K4"/>
    </row>
    <row r="5" spans="1:11" x14ac:dyDescent="0.2">
      <c r="A5" s="15" t="s">
        <v>70</v>
      </c>
      <c r="B5" s="16">
        <v>5.3518046784589934E-2</v>
      </c>
    </row>
    <row r="6" spans="1:11" x14ac:dyDescent="0.2">
      <c r="A6" s="15" t="s">
        <v>73</v>
      </c>
      <c r="B6" s="21">
        <v>5.0000000000000001E-3</v>
      </c>
    </row>
    <row r="7" spans="1:11" x14ac:dyDescent="0.2">
      <c r="A7" s="19" t="s">
        <v>98</v>
      </c>
      <c r="B7" s="16">
        <v>0.1108</v>
      </c>
    </row>
    <row r="8" spans="1:11" x14ac:dyDescent="0.2">
      <c r="A8" s="15" t="s">
        <v>96</v>
      </c>
      <c r="B8" s="38">
        <v>882646</v>
      </c>
    </row>
    <row r="9" spans="1:11" x14ac:dyDescent="0.2">
      <c r="A9" s="15" t="s">
        <v>95</v>
      </c>
      <c r="B9" s="15">
        <f>1129931+527173</f>
        <v>1657104</v>
      </c>
    </row>
    <row r="10" spans="1:11" s="17" customFormat="1" x14ac:dyDescent="0.2">
      <c r="A10"/>
      <c r="B10"/>
      <c r="C10"/>
      <c r="D10"/>
      <c r="E10"/>
      <c r="F10"/>
      <c r="G10"/>
      <c r="H10"/>
      <c r="I10"/>
      <c r="J10"/>
      <c r="K10"/>
    </row>
    <row r="11" spans="1:11" x14ac:dyDescent="0.2">
      <c r="A11" s="14"/>
      <c r="B11" s="15">
        <v>0</v>
      </c>
      <c r="C11" s="15">
        <v>1</v>
      </c>
      <c r="D11" s="15">
        <v>2</v>
      </c>
      <c r="E11" s="15">
        <v>3</v>
      </c>
      <c r="F11" s="15">
        <v>4</v>
      </c>
      <c r="G11" s="15">
        <v>5</v>
      </c>
      <c r="H11" s="15">
        <v>6</v>
      </c>
      <c r="I11" s="15">
        <v>7</v>
      </c>
      <c r="J11" s="15">
        <v>8</v>
      </c>
    </row>
    <row r="12" spans="1:11" x14ac:dyDescent="0.2">
      <c r="A12" s="14" t="s">
        <v>68</v>
      </c>
      <c r="B12" s="18">
        <v>172123</v>
      </c>
      <c r="C12" s="18">
        <v>144460.07347027096</v>
      </c>
      <c r="D12" s="18">
        <v>213970.12500862975</v>
      </c>
      <c r="E12" s="18">
        <v>233467.88872310636</v>
      </c>
      <c r="F12" s="18">
        <v>255061.57402938639</v>
      </c>
      <c r="G12" s="18">
        <v>277713.76442242181</v>
      </c>
      <c r="H12" s="18">
        <v>297982.716961639</v>
      </c>
      <c r="I12" s="18">
        <v>323052.75930063438</v>
      </c>
      <c r="J12" s="18">
        <v>344665.77610804467</v>
      </c>
      <c r="K12" s="18">
        <f ca="1">J12*(1+B4)</f>
        <v>363554.12663300178</v>
      </c>
    </row>
    <row r="13" spans="1:11" x14ac:dyDescent="0.2">
      <c r="A13" s="14" t="s">
        <v>64</v>
      </c>
      <c r="B13" s="18"/>
      <c r="C13" s="18"/>
      <c r="D13" s="18"/>
      <c r="E13" s="18"/>
      <c r="F13" s="18"/>
      <c r="G13" s="18"/>
      <c r="H13" s="18"/>
      <c r="I13" s="18"/>
      <c r="J13" s="18">
        <f ca="1">K12/(B1-B4)</f>
        <v>9778348.3995683994</v>
      </c>
    </row>
    <row r="14" spans="1:11" x14ac:dyDescent="0.2">
      <c r="A14" s="14" t="s">
        <v>69</v>
      </c>
      <c r="B14" s="18"/>
      <c r="C14" s="18">
        <f t="shared" ref="C14:I14" ca="1" si="0">SUM(C12:C13)/((1+$B$1)^C11)</f>
        <v>132291.69370167013</v>
      </c>
      <c r="D14" s="18">
        <f t="shared" ca="1" si="0"/>
        <v>179441.39256040668</v>
      </c>
      <c r="E14" s="18">
        <f t="shared" ca="1" si="0"/>
        <v>179300.45504636402</v>
      </c>
      <c r="F14" s="18">
        <f t="shared" ca="1" si="0"/>
        <v>179384.12912778324</v>
      </c>
      <c r="G14" s="18">
        <f t="shared" ca="1" si="0"/>
        <v>178863.25574923598</v>
      </c>
      <c r="H14" s="18">
        <f t="shared" ca="1" si="0"/>
        <v>175751.70515908513</v>
      </c>
      <c r="I14" s="18">
        <f t="shared" ca="1" si="0"/>
        <v>174488.44475490556</v>
      </c>
      <c r="J14" s="18">
        <f ca="1">SUM(J12:J13)/((1+$B$1)^J11)</f>
        <v>5007117.7792907581</v>
      </c>
    </row>
    <row r="16" spans="1:11" s="17" customFormat="1" x14ac:dyDescent="0.2">
      <c r="A16" s="23" t="s">
        <v>65</v>
      </c>
      <c r="B16" s="40">
        <f ca="1">B12+SUM(C14:J14)+SUM('Valuing Associates &amp; JVs'!H2:H22)</f>
        <v>7793977.2718902081</v>
      </c>
      <c r="C16"/>
      <c r="D16"/>
      <c r="E16"/>
      <c r="F16"/>
      <c r="G16"/>
      <c r="H16"/>
      <c r="I16"/>
      <c r="K16"/>
    </row>
    <row r="17" spans="1:5" x14ac:dyDescent="0.2">
      <c r="A17" s="14" t="s">
        <v>94</v>
      </c>
      <c r="B17" s="41">
        <f ca="1">B16+B8-B9</f>
        <v>7019519.2718902081</v>
      </c>
    </row>
    <row r="18" spans="1:5" x14ac:dyDescent="0.2">
      <c r="A18" s="14" t="s">
        <v>93</v>
      </c>
      <c r="B18" s="46">
        <v>169930</v>
      </c>
    </row>
    <row r="19" spans="1:5" x14ac:dyDescent="0.2">
      <c r="A19" s="43" t="s">
        <v>97</v>
      </c>
      <c r="B19" s="44">
        <f ca="1">B17/B18</f>
        <v>41.308299134291815</v>
      </c>
    </row>
    <row r="20" spans="1:5" x14ac:dyDescent="0.2">
      <c r="A20" s="43" t="s">
        <v>100</v>
      </c>
      <c r="B20" s="44">
        <f ca="1">B19*(1+B7)^(232/365)</f>
        <v>44.16154136787393</v>
      </c>
      <c r="E20" s="25"/>
    </row>
    <row r="21" spans="1:5" x14ac:dyDescent="0.2">
      <c r="A21" s="45" t="s">
        <v>101</v>
      </c>
      <c r="B21" s="45">
        <v>16.12</v>
      </c>
      <c r="E21" s="24"/>
    </row>
    <row r="22" spans="1:5" x14ac:dyDescent="0.2">
      <c r="E22" s="25"/>
    </row>
    <row r="23" spans="1:5" x14ac:dyDescent="0.2">
      <c r="A23" t="s">
        <v>74</v>
      </c>
      <c r="B23" t="s">
        <v>103</v>
      </c>
      <c r="E23" s="25"/>
    </row>
    <row r="24" spans="1:5" x14ac:dyDescent="0.2">
      <c r="A24">
        <v>1</v>
      </c>
      <c r="B24" s="36">
        <f ca="1">B20</f>
        <v>44.16154136787393</v>
      </c>
      <c r="D24" s="17" t="s">
        <v>33</v>
      </c>
      <c r="E24" s="47">
        <f ca="1">AVERAGE(B24:B1023)</f>
        <v>42.673711053874896</v>
      </c>
    </row>
    <row r="25" spans="1:5" x14ac:dyDescent="0.2">
      <c r="A25">
        <v>2</v>
      </c>
      <c r="B25" s="36">
        <f t="dataTable" ref="B25:B1023" dt2D="0" dtr="0" r1="F17" ca="1"/>
        <v>40.43219368881946</v>
      </c>
      <c r="D25" s="17" t="s">
        <v>75</v>
      </c>
      <c r="E25" s="47">
        <f ca="1">_xlfn.STDEV.P(B24:B1023)</f>
        <v>7.0072814106650956</v>
      </c>
    </row>
    <row r="26" spans="1:5" x14ac:dyDescent="0.2">
      <c r="A26">
        <v>3</v>
      </c>
      <c r="B26" s="36">
        <v>37.356977494304282</v>
      </c>
      <c r="D26" s="17" t="s">
        <v>77</v>
      </c>
      <c r="E26" s="36">
        <f ca="1">MAX(B24:B1023)</f>
        <v>88.755817421887599</v>
      </c>
    </row>
    <row r="27" spans="1:5" x14ac:dyDescent="0.2">
      <c r="A27">
        <v>4</v>
      </c>
      <c r="B27" s="36">
        <v>72.391639378370229</v>
      </c>
      <c r="D27" s="17" t="s">
        <v>76</v>
      </c>
      <c r="E27" s="36">
        <f ca="1">MIN(B24:B1023)</f>
        <v>30.370000905741744</v>
      </c>
    </row>
    <row r="28" spans="1:5" x14ac:dyDescent="0.2">
      <c r="A28">
        <v>5</v>
      </c>
      <c r="B28" s="36">
        <v>36.255465156680749</v>
      </c>
      <c r="D28" s="17" t="s">
        <v>78</v>
      </c>
      <c r="E28">
        <f ca="1">COUNTIF(B24:B1023,"&gt;"&amp;B21)/1000</f>
        <v>1</v>
      </c>
    </row>
    <row r="29" spans="1:5" x14ac:dyDescent="0.2">
      <c r="A29">
        <v>6</v>
      </c>
      <c r="B29" s="36">
        <v>41.402719385523127</v>
      </c>
    </row>
    <row r="30" spans="1:5" x14ac:dyDescent="0.2">
      <c r="A30">
        <v>7</v>
      </c>
      <c r="B30" s="36">
        <v>42.188546874104325</v>
      </c>
    </row>
    <row r="31" spans="1:5" x14ac:dyDescent="0.2">
      <c r="A31">
        <v>8</v>
      </c>
      <c r="B31" s="36">
        <v>44.677338692412739</v>
      </c>
    </row>
    <row r="32" spans="1:5" x14ac:dyDescent="0.2">
      <c r="A32">
        <v>9</v>
      </c>
      <c r="B32" s="36">
        <v>39.208609157412262</v>
      </c>
    </row>
    <row r="33" spans="1:2" x14ac:dyDescent="0.2">
      <c r="A33">
        <v>10</v>
      </c>
      <c r="B33" s="36">
        <v>49.00543714232861</v>
      </c>
    </row>
    <row r="34" spans="1:2" x14ac:dyDescent="0.2">
      <c r="A34">
        <v>11</v>
      </c>
      <c r="B34" s="36">
        <v>40.159759796666847</v>
      </c>
    </row>
    <row r="35" spans="1:2" x14ac:dyDescent="0.2">
      <c r="A35">
        <v>12</v>
      </c>
      <c r="B35" s="36">
        <v>32.082397977616743</v>
      </c>
    </row>
    <row r="36" spans="1:2" x14ac:dyDescent="0.2">
      <c r="A36">
        <v>13</v>
      </c>
      <c r="B36" s="36">
        <v>39.569630620533495</v>
      </c>
    </row>
    <row r="37" spans="1:2" x14ac:dyDescent="0.2">
      <c r="A37">
        <v>14</v>
      </c>
      <c r="B37" s="36">
        <v>45.720728268952733</v>
      </c>
    </row>
    <row r="38" spans="1:2" x14ac:dyDescent="0.2">
      <c r="A38">
        <v>15</v>
      </c>
      <c r="B38" s="36">
        <v>48.771880572892726</v>
      </c>
    </row>
    <row r="39" spans="1:2" x14ac:dyDescent="0.2">
      <c r="A39">
        <v>16</v>
      </c>
      <c r="B39" s="36">
        <v>51.670246784723325</v>
      </c>
    </row>
    <row r="40" spans="1:2" x14ac:dyDescent="0.2">
      <c r="A40">
        <v>17</v>
      </c>
      <c r="B40" s="36">
        <v>38.210447348665753</v>
      </c>
    </row>
    <row r="41" spans="1:2" x14ac:dyDescent="0.2">
      <c r="A41">
        <v>18</v>
      </c>
      <c r="B41" s="36">
        <v>37.016871648593316</v>
      </c>
    </row>
    <row r="42" spans="1:2" x14ac:dyDescent="0.2">
      <c r="A42">
        <v>19</v>
      </c>
      <c r="B42" s="36">
        <v>33.271299980051197</v>
      </c>
    </row>
    <row r="43" spans="1:2" x14ac:dyDescent="0.2">
      <c r="A43">
        <v>20</v>
      </c>
      <c r="B43" s="36">
        <v>42.099538786803748</v>
      </c>
    </row>
    <row r="44" spans="1:2" x14ac:dyDescent="0.2">
      <c r="A44">
        <v>21</v>
      </c>
      <c r="B44" s="36">
        <v>37.976245292566183</v>
      </c>
    </row>
    <row r="45" spans="1:2" x14ac:dyDescent="0.2">
      <c r="A45">
        <v>22</v>
      </c>
      <c r="B45" s="36">
        <v>45.197233940634348</v>
      </c>
    </row>
    <row r="46" spans="1:2" x14ac:dyDescent="0.2">
      <c r="A46">
        <v>23</v>
      </c>
      <c r="B46" s="36">
        <v>37.413901991593818</v>
      </c>
    </row>
    <row r="47" spans="1:2" x14ac:dyDescent="0.2">
      <c r="A47">
        <v>24</v>
      </c>
      <c r="B47" s="36">
        <v>58.282436075413543</v>
      </c>
    </row>
    <row r="48" spans="1:2" x14ac:dyDescent="0.2">
      <c r="A48">
        <v>25</v>
      </c>
      <c r="B48" s="36">
        <v>40.254804852812974</v>
      </c>
    </row>
    <row r="49" spans="1:2" x14ac:dyDescent="0.2">
      <c r="A49">
        <v>26</v>
      </c>
      <c r="B49" s="36">
        <v>41.061313124199224</v>
      </c>
    </row>
    <row r="50" spans="1:2" x14ac:dyDescent="0.2">
      <c r="A50">
        <v>27</v>
      </c>
      <c r="B50" s="36">
        <v>40.100977062119227</v>
      </c>
    </row>
    <row r="51" spans="1:2" x14ac:dyDescent="0.2">
      <c r="A51">
        <v>28</v>
      </c>
      <c r="B51" s="36">
        <v>36.880137870536188</v>
      </c>
    </row>
    <row r="52" spans="1:2" x14ac:dyDescent="0.2">
      <c r="A52">
        <v>29</v>
      </c>
      <c r="B52" s="36">
        <v>37.961375199241132</v>
      </c>
    </row>
    <row r="53" spans="1:2" x14ac:dyDescent="0.2">
      <c r="A53">
        <v>30</v>
      </c>
      <c r="B53" s="36">
        <v>35.683410324159446</v>
      </c>
    </row>
    <row r="54" spans="1:2" x14ac:dyDescent="0.2">
      <c r="A54">
        <v>31</v>
      </c>
      <c r="B54" s="36">
        <v>38.718159092762342</v>
      </c>
    </row>
    <row r="55" spans="1:2" x14ac:dyDescent="0.2">
      <c r="A55">
        <v>32</v>
      </c>
      <c r="B55" s="36">
        <v>48.607962449342864</v>
      </c>
    </row>
    <row r="56" spans="1:2" x14ac:dyDescent="0.2">
      <c r="A56">
        <v>33</v>
      </c>
      <c r="B56" s="36">
        <v>52.687915420186229</v>
      </c>
    </row>
    <row r="57" spans="1:2" x14ac:dyDescent="0.2">
      <c r="A57">
        <v>34</v>
      </c>
      <c r="B57" s="36">
        <v>38.862651601464783</v>
      </c>
    </row>
    <row r="58" spans="1:2" x14ac:dyDescent="0.2">
      <c r="A58">
        <v>35</v>
      </c>
      <c r="B58" s="36">
        <v>42.668743641558819</v>
      </c>
    </row>
    <row r="59" spans="1:2" x14ac:dyDescent="0.2">
      <c r="A59">
        <v>36</v>
      </c>
      <c r="B59" s="36">
        <v>39.998787264541789</v>
      </c>
    </row>
    <row r="60" spans="1:2" x14ac:dyDescent="0.2">
      <c r="A60">
        <v>37</v>
      </c>
      <c r="B60" s="36">
        <v>53.821155920169609</v>
      </c>
    </row>
    <row r="61" spans="1:2" x14ac:dyDescent="0.2">
      <c r="A61">
        <v>38</v>
      </c>
      <c r="B61" s="36">
        <v>38.247245090783103</v>
      </c>
    </row>
    <row r="62" spans="1:2" x14ac:dyDescent="0.2">
      <c r="A62">
        <v>39</v>
      </c>
      <c r="B62" s="36">
        <v>38.447229684133013</v>
      </c>
    </row>
    <row r="63" spans="1:2" x14ac:dyDescent="0.2">
      <c r="A63">
        <v>40</v>
      </c>
      <c r="B63" s="36">
        <v>37.269237010893285</v>
      </c>
    </row>
    <row r="64" spans="1:2" x14ac:dyDescent="0.2">
      <c r="A64">
        <v>41</v>
      </c>
      <c r="B64" s="36">
        <v>43.116631378551283</v>
      </c>
    </row>
    <row r="65" spans="1:2" x14ac:dyDescent="0.2">
      <c r="A65">
        <v>42</v>
      </c>
      <c r="B65" s="36">
        <v>41.081633175937796</v>
      </c>
    </row>
    <row r="66" spans="1:2" x14ac:dyDescent="0.2">
      <c r="A66">
        <v>43</v>
      </c>
      <c r="B66" s="36">
        <v>37.275321294983549</v>
      </c>
    </row>
    <row r="67" spans="1:2" x14ac:dyDescent="0.2">
      <c r="A67">
        <v>44</v>
      </c>
      <c r="B67" s="36">
        <v>38.055576508364645</v>
      </c>
    </row>
    <row r="68" spans="1:2" x14ac:dyDescent="0.2">
      <c r="A68">
        <v>45</v>
      </c>
      <c r="B68" s="36">
        <v>38.616872689677663</v>
      </c>
    </row>
    <row r="69" spans="1:2" x14ac:dyDescent="0.2">
      <c r="A69">
        <v>46</v>
      </c>
      <c r="B69" s="36">
        <v>32.218476703261508</v>
      </c>
    </row>
    <row r="70" spans="1:2" x14ac:dyDescent="0.2">
      <c r="A70">
        <v>47</v>
      </c>
      <c r="B70" s="36">
        <v>33.744444657203083</v>
      </c>
    </row>
    <row r="71" spans="1:2" x14ac:dyDescent="0.2">
      <c r="A71">
        <v>48</v>
      </c>
      <c r="B71" s="36">
        <v>39.683487008927997</v>
      </c>
    </row>
    <row r="72" spans="1:2" x14ac:dyDescent="0.2">
      <c r="A72">
        <v>49</v>
      </c>
      <c r="B72" s="36">
        <v>42.92223956993373</v>
      </c>
    </row>
    <row r="73" spans="1:2" x14ac:dyDescent="0.2">
      <c r="A73">
        <v>50</v>
      </c>
      <c r="B73" s="36">
        <v>34.337311237892862</v>
      </c>
    </row>
    <row r="74" spans="1:2" x14ac:dyDescent="0.2">
      <c r="A74">
        <v>51</v>
      </c>
      <c r="B74" s="36">
        <v>49.28301017775636</v>
      </c>
    </row>
    <row r="75" spans="1:2" x14ac:dyDescent="0.2">
      <c r="A75">
        <v>52</v>
      </c>
      <c r="B75" s="36">
        <v>43.98622756920706</v>
      </c>
    </row>
    <row r="76" spans="1:2" x14ac:dyDescent="0.2">
      <c r="A76">
        <v>53</v>
      </c>
      <c r="B76" s="36">
        <v>56.233418489919309</v>
      </c>
    </row>
    <row r="77" spans="1:2" x14ac:dyDescent="0.2">
      <c r="A77">
        <v>54</v>
      </c>
      <c r="B77" s="36">
        <v>40.141996353071278</v>
      </c>
    </row>
    <row r="78" spans="1:2" x14ac:dyDescent="0.2">
      <c r="A78">
        <v>55</v>
      </c>
      <c r="B78" s="36">
        <v>36.512243634347939</v>
      </c>
    </row>
    <row r="79" spans="1:2" x14ac:dyDescent="0.2">
      <c r="A79">
        <v>56</v>
      </c>
      <c r="B79" s="36">
        <v>39.199857204290822</v>
      </c>
    </row>
    <row r="80" spans="1:2" x14ac:dyDescent="0.2">
      <c r="A80">
        <v>57</v>
      </c>
      <c r="B80" s="36">
        <v>46.315231693197262</v>
      </c>
    </row>
    <row r="81" spans="1:2" x14ac:dyDescent="0.2">
      <c r="A81">
        <v>58</v>
      </c>
      <c r="B81" s="36">
        <v>44.770723769328995</v>
      </c>
    </row>
    <row r="82" spans="1:2" x14ac:dyDescent="0.2">
      <c r="A82">
        <v>59</v>
      </c>
      <c r="B82" s="36">
        <v>40.61244105942253</v>
      </c>
    </row>
    <row r="83" spans="1:2" x14ac:dyDescent="0.2">
      <c r="A83">
        <v>60</v>
      </c>
      <c r="B83" s="36">
        <v>34.053460141169062</v>
      </c>
    </row>
    <row r="84" spans="1:2" x14ac:dyDescent="0.2">
      <c r="A84">
        <v>61</v>
      </c>
      <c r="B84" s="36">
        <v>38.277721764362276</v>
      </c>
    </row>
    <row r="85" spans="1:2" x14ac:dyDescent="0.2">
      <c r="A85">
        <v>62</v>
      </c>
      <c r="B85" s="36">
        <v>50.269425382864583</v>
      </c>
    </row>
    <row r="86" spans="1:2" x14ac:dyDescent="0.2">
      <c r="A86">
        <v>63</v>
      </c>
      <c r="B86" s="36">
        <v>49.570019455885102</v>
      </c>
    </row>
    <row r="87" spans="1:2" x14ac:dyDescent="0.2">
      <c r="A87">
        <v>64</v>
      </c>
      <c r="B87" s="36">
        <v>33.679372686722758</v>
      </c>
    </row>
    <row r="88" spans="1:2" x14ac:dyDescent="0.2">
      <c r="A88">
        <v>65</v>
      </c>
      <c r="B88" s="36">
        <v>52.300854354065933</v>
      </c>
    </row>
    <row r="89" spans="1:2" x14ac:dyDescent="0.2">
      <c r="A89">
        <v>66</v>
      </c>
      <c r="B89" s="36">
        <v>53.496875548055058</v>
      </c>
    </row>
    <row r="90" spans="1:2" x14ac:dyDescent="0.2">
      <c r="A90">
        <v>67</v>
      </c>
      <c r="B90" s="36">
        <v>40.487973218024671</v>
      </c>
    </row>
    <row r="91" spans="1:2" x14ac:dyDescent="0.2">
      <c r="A91">
        <v>68</v>
      </c>
      <c r="B91" s="36">
        <v>49.941423340754177</v>
      </c>
    </row>
    <row r="92" spans="1:2" x14ac:dyDescent="0.2">
      <c r="A92">
        <v>69</v>
      </c>
      <c r="B92" s="36">
        <v>43.39983297455381</v>
      </c>
    </row>
    <row r="93" spans="1:2" x14ac:dyDescent="0.2">
      <c r="A93">
        <v>70</v>
      </c>
      <c r="B93" s="36">
        <v>33.370859571755332</v>
      </c>
    </row>
    <row r="94" spans="1:2" x14ac:dyDescent="0.2">
      <c r="A94">
        <v>71</v>
      </c>
      <c r="B94" s="36">
        <v>50.040436083739181</v>
      </c>
    </row>
    <row r="95" spans="1:2" x14ac:dyDescent="0.2">
      <c r="A95">
        <v>72</v>
      </c>
      <c r="B95" s="36">
        <v>43.495784438335534</v>
      </c>
    </row>
    <row r="96" spans="1:2" x14ac:dyDescent="0.2">
      <c r="A96">
        <v>73</v>
      </c>
      <c r="B96" s="36">
        <v>43.291890311968913</v>
      </c>
    </row>
    <row r="97" spans="1:2" x14ac:dyDescent="0.2">
      <c r="A97">
        <v>74</v>
      </c>
      <c r="B97" s="36">
        <v>39.336567619640242</v>
      </c>
    </row>
    <row r="98" spans="1:2" x14ac:dyDescent="0.2">
      <c r="A98">
        <v>75</v>
      </c>
      <c r="B98" s="36">
        <v>56.39525890037276</v>
      </c>
    </row>
    <row r="99" spans="1:2" x14ac:dyDescent="0.2">
      <c r="A99">
        <v>76</v>
      </c>
      <c r="B99" s="36">
        <v>37.091753138188913</v>
      </c>
    </row>
    <row r="100" spans="1:2" x14ac:dyDescent="0.2">
      <c r="A100">
        <v>77</v>
      </c>
      <c r="B100" s="36">
        <v>42.066884520840709</v>
      </c>
    </row>
    <row r="101" spans="1:2" x14ac:dyDescent="0.2">
      <c r="A101">
        <v>78</v>
      </c>
      <c r="B101" s="36">
        <v>38.346450974373553</v>
      </c>
    </row>
    <row r="102" spans="1:2" x14ac:dyDescent="0.2">
      <c r="A102">
        <v>79</v>
      </c>
      <c r="B102" s="36">
        <v>44.582846909216677</v>
      </c>
    </row>
    <row r="103" spans="1:2" x14ac:dyDescent="0.2">
      <c r="A103">
        <v>80</v>
      </c>
      <c r="B103" s="36">
        <v>35.981947134332046</v>
      </c>
    </row>
    <row r="104" spans="1:2" x14ac:dyDescent="0.2">
      <c r="A104">
        <v>81</v>
      </c>
      <c r="B104" s="36">
        <v>39.237039683122539</v>
      </c>
    </row>
    <row r="105" spans="1:2" x14ac:dyDescent="0.2">
      <c r="A105">
        <v>82</v>
      </c>
      <c r="B105" s="36">
        <v>39.155336078348327</v>
      </c>
    </row>
    <row r="106" spans="1:2" x14ac:dyDescent="0.2">
      <c r="A106">
        <v>83</v>
      </c>
      <c r="B106" s="36">
        <v>36.13036886893466</v>
      </c>
    </row>
    <row r="107" spans="1:2" x14ac:dyDescent="0.2">
      <c r="A107">
        <v>84</v>
      </c>
      <c r="B107" s="36">
        <v>45.995079699216745</v>
      </c>
    </row>
    <row r="108" spans="1:2" x14ac:dyDescent="0.2">
      <c r="A108">
        <v>85</v>
      </c>
      <c r="B108" s="36">
        <v>38.240965162156833</v>
      </c>
    </row>
    <row r="109" spans="1:2" x14ac:dyDescent="0.2">
      <c r="A109">
        <v>86</v>
      </c>
      <c r="B109" s="36">
        <v>38.49361179523919</v>
      </c>
    </row>
    <row r="110" spans="1:2" x14ac:dyDescent="0.2">
      <c r="A110">
        <v>87</v>
      </c>
      <c r="B110" s="36">
        <v>40.58043911214429</v>
      </c>
    </row>
    <row r="111" spans="1:2" x14ac:dyDescent="0.2">
      <c r="A111">
        <v>88</v>
      </c>
      <c r="B111" s="36">
        <v>41.668476733601743</v>
      </c>
    </row>
    <row r="112" spans="1:2" x14ac:dyDescent="0.2">
      <c r="A112">
        <v>89</v>
      </c>
      <c r="B112" s="36">
        <v>36.49229021049517</v>
      </c>
    </row>
    <row r="113" spans="1:2" x14ac:dyDescent="0.2">
      <c r="A113">
        <v>90</v>
      </c>
      <c r="B113" s="36">
        <v>39.285345903785547</v>
      </c>
    </row>
    <row r="114" spans="1:2" x14ac:dyDescent="0.2">
      <c r="A114">
        <v>91</v>
      </c>
      <c r="B114" s="36">
        <v>39.035730315918244</v>
      </c>
    </row>
    <row r="115" spans="1:2" x14ac:dyDescent="0.2">
      <c r="A115">
        <v>92</v>
      </c>
      <c r="B115" s="36">
        <v>47.360802096401265</v>
      </c>
    </row>
    <row r="116" spans="1:2" x14ac:dyDescent="0.2">
      <c r="A116">
        <v>93</v>
      </c>
      <c r="B116" s="36">
        <v>42.329259599635719</v>
      </c>
    </row>
    <row r="117" spans="1:2" x14ac:dyDescent="0.2">
      <c r="A117">
        <v>94</v>
      </c>
      <c r="B117" s="36">
        <v>42.13613631967408</v>
      </c>
    </row>
    <row r="118" spans="1:2" x14ac:dyDescent="0.2">
      <c r="A118">
        <v>95</v>
      </c>
      <c r="B118" s="36">
        <v>37.80155541774851</v>
      </c>
    </row>
    <row r="119" spans="1:2" x14ac:dyDescent="0.2">
      <c r="A119">
        <v>96</v>
      </c>
      <c r="B119" s="36">
        <v>36.862099450097041</v>
      </c>
    </row>
    <row r="120" spans="1:2" x14ac:dyDescent="0.2">
      <c r="A120">
        <v>97</v>
      </c>
      <c r="B120" s="36">
        <v>41.604951015619775</v>
      </c>
    </row>
    <row r="121" spans="1:2" x14ac:dyDescent="0.2">
      <c r="A121">
        <v>98</v>
      </c>
      <c r="B121" s="36">
        <v>43.152068151301464</v>
      </c>
    </row>
    <row r="122" spans="1:2" x14ac:dyDescent="0.2">
      <c r="A122">
        <v>99</v>
      </c>
      <c r="B122" s="36">
        <v>33.172090584968224</v>
      </c>
    </row>
    <row r="123" spans="1:2" x14ac:dyDescent="0.2">
      <c r="A123">
        <v>100</v>
      </c>
      <c r="B123" s="36">
        <v>49.502742351084059</v>
      </c>
    </row>
    <row r="124" spans="1:2" x14ac:dyDescent="0.2">
      <c r="A124">
        <v>101</v>
      </c>
      <c r="B124" s="36">
        <v>32.900856305053992</v>
      </c>
    </row>
    <row r="125" spans="1:2" x14ac:dyDescent="0.2">
      <c r="A125">
        <v>102</v>
      </c>
      <c r="B125" s="36">
        <v>40.336652939833016</v>
      </c>
    </row>
    <row r="126" spans="1:2" x14ac:dyDescent="0.2">
      <c r="A126">
        <v>103</v>
      </c>
      <c r="B126" s="36">
        <v>37.735537057255421</v>
      </c>
    </row>
    <row r="127" spans="1:2" x14ac:dyDescent="0.2">
      <c r="A127">
        <v>104</v>
      </c>
      <c r="B127" s="36">
        <v>43.422158624269962</v>
      </c>
    </row>
    <row r="128" spans="1:2" x14ac:dyDescent="0.2">
      <c r="A128">
        <v>105</v>
      </c>
      <c r="B128" s="36">
        <v>34.060598379674211</v>
      </c>
    </row>
    <row r="129" spans="1:2" x14ac:dyDescent="0.2">
      <c r="A129">
        <v>106</v>
      </c>
      <c r="B129" s="36">
        <v>47.00189489894688</v>
      </c>
    </row>
    <row r="130" spans="1:2" x14ac:dyDescent="0.2">
      <c r="A130">
        <v>107</v>
      </c>
      <c r="B130" s="36">
        <v>34.940269392110025</v>
      </c>
    </row>
    <row r="131" spans="1:2" x14ac:dyDescent="0.2">
      <c r="A131">
        <v>108</v>
      </c>
      <c r="B131" s="36">
        <v>40.508898121465414</v>
      </c>
    </row>
    <row r="132" spans="1:2" x14ac:dyDescent="0.2">
      <c r="A132">
        <v>109</v>
      </c>
      <c r="B132" s="36">
        <v>36.789571236610044</v>
      </c>
    </row>
    <row r="133" spans="1:2" x14ac:dyDescent="0.2">
      <c r="A133">
        <v>110</v>
      </c>
      <c r="B133" s="36">
        <v>41.937063054675477</v>
      </c>
    </row>
    <row r="134" spans="1:2" x14ac:dyDescent="0.2">
      <c r="A134">
        <v>111</v>
      </c>
      <c r="B134" s="36">
        <v>46.075386268587984</v>
      </c>
    </row>
    <row r="135" spans="1:2" x14ac:dyDescent="0.2">
      <c r="A135">
        <v>112</v>
      </c>
      <c r="B135" s="36">
        <v>58.064171407848242</v>
      </c>
    </row>
    <row r="136" spans="1:2" x14ac:dyDescent="0.2">
      <c r="A136">
        <v>113</v>
      </c>
      <c r="B136" s="36">
        <v>40.139254582012548</v>
      </c>
    </row>
    <row r="137" spans="1:2" x14ac:dyDescent="0.2">
      <c r="A137">
        <v>114</v>
      </c>
      <c r="B137" s="36">
        <v>37.009951575085736</v>
      </c>
    </row>
    <row r="138" spans="1:2" x14ac:dyDescent="0.2">
      <c r="A138">
        <v>115</v>
      </c>
      <c r="B138" s="36">
        <v>38.484483223114189</v>
      </c>
    </row>
    <row r="139" spans="1:2" x14ac:dyDescent="0.2">
      <c r="A139">
        <v>116</v>
      </c>
      <c r="B139" s="36">
        <v>49.208508903385713</v>
      </c>
    </row>
    <row r="140" spans="1:2" x14ac:dyDescent="0.2">
      <c r="A140">
        <v>117</v>
      </c>
      <c r="B140" s="36">
        <v>46.042466410168217</v>
      </c>
    </row>
    <row r="141" spans="1:2" x14ac:dyDescent="0.2">
      <c r="A141">
        <v>118</v>
      </c>
      <c r="B141" s="36">
        <v>47.195971227706679</v>
      </c>
    </row>
    <row r="142" spans="1:2" x14ac:dyDescent="0.2">
      <c r="A142">
        <v>119</v>
      </c>
      <c r="B142" s="36">
        <v>35.74599501911343</v>
      </c>
    </row>
    <row r="143" spans="1:2" x14ac:dyDescent="0.2">
      <c r="A143">
        <v>120</v>
      </c>
      <c r="B143" s="36">
        <v>51.915172663364125</v>
      </c>
    </row>
    <row r="144" spans="1:2" x14ac:dyDescent="0.2">
      <c r="A144">
        <v>121</v>
      </c>
      <c r="B144" s="36">
        <v>37.934690939913395</v>
      </c>
    </row>
    <row r="145" spans="1:2" x14ac:dyDescent="0.2">
      <c r="A145">
        <v>122</v>
      </c>
      <c r="B145" s="36">
        <v>38.345865030894579</v>
      </c>
    </row>
    <row r="146" spans="1:2" x14ac:dyDescent="0.2">
      <c r="A146">
        <v>123</v>
      </c>
      <c r="B146" s="36">
        <v>51.943870146235831</v>
      </c>
    </row>
    <row r="147" spans="1:2" x14ac:dyDescent="0.2">
      <c r="A147">
        <v>124</v>
      </c>
      <c r="B147" s="36">
        <v>43.610449657401269</v>
      </c>
    </row>
    <row r="148" spans="1:2" x14ac:dyDescent="0.2">
      <c r="A148">
        <v>125</v>
      </c>
      <c r="B148" s="36">
        <v>44.925914925102141</v>
      </c>
    </row>
    <row r="149" spans="1:2" x14ac:dyDescent="0.2">
      <c r="A149">
        <v>126</v>
      </c>
      <c r="B149" s="36">
        <v>75.671612993765237</v>
      </c>
    </row>
    <row r="150" spans="1:2" x14ac:dyDescent="0.2">
      <c r="A150">
        <v>127</v>
      </c>
      <c r="B150" s="36">
        <v>38.867520655680522</v>
      </c>
    </row>
    <row r="151" spans="1:2" x14ac:dyDescent="0.2">
      <c r="A151">
        <v>128</v>
      </c>
      <c r="B151" s="36">
        <v>32.617841173718759</v>
      </c>
    </row>
    <row r="152" spans="1:2" x14ac:dyDescent="0.2">
      <c r="A152">
        <v>129</v>
      </c>
      <c r="B152" s="36">
        <v>39.938670986870527</v>
      </c>
    </row>
    <row r="153" spans="1:2" x14ac:dyDescent="0.2">
      <c r="A153">
        <v>130</v>
      </c>
      <c r="B153" s="36">
        <v>41.213373096660071</v>
      </c>
    </row>
    <row r="154" spans="1:2" x14ac:dyDescent="0.2">
      <c r="A154">
        <v>131</v>
      </c>
      <c r="B154" s="36">
        <v>37.682309959324634</v>
      </c>
    </row>
    <row r="155" spans="1:2" x14ac:dyDescent="0.2">
      <c r="A155">
        <v>132</v>
      </c>
      <c r="B155" s="36">
        <v>41.693495238520924</v>
      </c>
    </row>
    <row r="156" spans="1:2" x14ac:dyDescent="0.2">
      <c r="A156">
        <v>133</v>
      </c>
      <c r="B156" s="36">
        <v>34.562243739683765</v>
      </c>
    </row>
    <row r="157" spans="1:2" x14ac:dyDescent="0.2">
      <c r="A157">
        <v>134</v>
      </c>
      <c r="B157" s="36">
        <v>44.882000780344562</v>
      </c>
    </row>
    <row r="158" spans="1:2" x14ac:dyDescent="0.2">
      <c r="A158">
        <v>135</v>
      </c>
      <c r="B158" s="36">
        <v>45.25136589586689</v>
      </c>
    </row>
    <row r="159" spans="1:2" x14ac:dyDescent="0.2">
      <c r="A159">
        <v>136</v>
      </c>
      <c r="B159" s="36">
        <v>42.289659229190462</v>
      </c>
    </row>
    <row r="160" spans="1:2" x14ac:dyDescent="0.2">
      <c r="A160">
        <v>137</v>
      </c>
      <c r="B160" s="36">
        <v>54.554605364540869</v>
      </c>
    </row>
    <row r="161" spans="1:2" x14ac:dyDescent="0.2">
      <c r="A161">
        <v>138</v>
      </c>
      <c r="B161" s="36">
        <v>44.626050935858558</v>
      </c>
    </row>
    <row r="162" spans="1:2" x14ac:dyDescent="0.2">
      <c r="A162">
        <v>139</v>
      </c>
      <c r="B162" s="36">
        <v>41.85619371491957</v>
      </c>
    </row>
    <row r="163" spans="1:2" x14ac:dyDescent="0.2">
      <c r="A163">
        <v>140</v>
      </c>
      <c r="B163" s="36">
        <v>45.664392342612913</v>
      </c>
    </row>
    <row r="164" spans="1:2" x14ac:dyDescent="0.2">
      <c r="A164">
        <v>141</v>
      </c>
      <c r="B164" s="36">
        <v>35.733169523285028</v>
      </c>
    </row>
    <row r="165" spans="1:2" x14ac:dyDescent="0.2">
      <c r="A165">
        <v>142</v>
      </c>
      <c r="B165" s="36">
        <v>46.164012709621616</v>
      </c>
    </row>
    <row r="166" spans="1:2" x14ac:dyDescent="0.2">
      <c r="A166">
        <v>143</v>
      </c>
      <c r="B166" s="36">
        <v>41.811267974228045</v>
      </c>
    </row>
    <row r="167" spans="1:2" x14ac:dyDescent="0.2">
      <c r="A167">
        <v>144</v>
      </c>
      <c r="B167" s="36">
        <v>42.972402884833322</v>
      </c>
    </row>
    <row r="168" spans="1:2" x14ac:dyDescent="0.2">
      <c r="A168">
        <v>145</v>
      </c>
      <c r="B168" s="36">
        <v>45.724493237993713</v>
      </c>
    </row>
    <row r="169" spans="1:2" x14ac:dyDescent="0.2">
      <c r="A169">
        <v>146</v>
      </c>
      <c r="B169" s="36">
        <v>43.975591210513656</v>
      </c>
    </row>
    <row r="170" spans="1:2" x14ac:dyDescent="0.2">
      <c r="A170">
        <v>147</v>
      </c>
      <c r="B170" s="36">
        <v>36.500831450010139</v>
      </c>
    </row>
    <row r="171" spans="1:2" x14ac:dyDescent="0.2">
      <c r="A171">
        <v>148</v>
      </c>
      <c r="B171" s="36">
        <v>44.927386182075018</v>
      </c>
    </row>
    <row r="172" spans="1:2" x14ac:dyDescent="0.2">
      <c r="A172">
        <v>149</v>
      </c>
      <c r="B172" s="36">
        <v>39.072294155602556</v>
      </c>
    </row>
    <row r="173" spans="1:2" x14ac:dyDescent="0.2">
      <c r="A173">
        <v>150</v>
      </c>
      <c r="B173" s="36">
        <v>50.440325356900004</v>
      </c>
    </row>
    <row r="174" spans="1:2" x14ac:dyDescent="0.2">
      <c r="A174">
        <v>151</v>
      </c>
      <c r="B174" s="36">
        <v>33.277009624888443</v>
      </c>
    </row>
    <row r="175" spans="1:2" x14ac:dyDescent="0.2">
      <c r="A175">
        <v>152</v>
      </c>
      <c r="B175" s="36">
        <v>47.525950188362387</v>
      </c>
    </row>
    <row r="176" spans="1:2" x14ac:dyDescent="0.2">
      <c r="A176">
        <v>153</v>
      </c>
      <c r="B176" s="36">
        <v>50.014462548881887</v>
      </c>
    </row>
    <row r="177" spans="1:2" x14ac:dyDescent="0.2">
      <c r="A177">
        <v>154</v>
      </c>
      <c r="B177" s="36">
        <v>48.63386706221813</v>
      </c>
    </row>
    <row r="178" spans="1:2" x14ac:dyDescent="0.2">
      <c r="A178">
        <v>155</v>
      </c>
      <c r="B178" s="36">
        <v>39.405482283448968</v>
      </c>
    </row>
    <row r="179" spans="1:2" x14ac:dyDescent="0.2">
      <c r="A179">
        <v>156</v>
      </c>
      <c r="B179" s="36">
        <v>43.793255414683927</v>
      </c>
    </row>
    <row r="180" spans="1:2" x14ac:dyDescent="0.2">
      <c r="A180">
        <v>157</v>
      </c>
      <c r="B180" s="36">
        <v>41.376601469417253</v>
      </c>
    </row>
    <row r="181" spans="1:2" x14ac:dyDescent="0.2">
      <c r="A181">
        <v>158</v>
      </c>
      <c r="B181" s="36">
        <v>33.685642358038571</v>
      </c>
    </row>
    <row r="182" spans="1:2" x14ac:dyDescent="0.2">
      <c r="A182">
        <v>159</v>
      </c>
      <c r="B182" s="36">
        <v>39.377763032225317</v>
      </c>
    </row>
    <row r="183" spans="1:2" x14ac:dyDescent="0.2">
      <c r="A183">
        <v>160</v>
      </c>
      <c r="B183" s="36">
        <v>37.993947685689299</v>
      </c>
    </row>
    <row r="184" spans="1:2" x14ac:dyDescent="0.2">
      <c r="A184">
        <v>161</v>
      </c>
      <c r="B184" s="36">
        <v>37.405992663887034</v>
      </c>
    </row>
    <row r="185" spans="1:2" x14ac:dyDescent="0.2">
      <c r="A185">
        <v>162</v>
      </c>
      <c r="B185" s="36">
        <v>36.666756550617819</v>
      </c>
    </row>
    <row r="186" spans="1:2" x14ac:dyDescent="0.2">
      <c r="A186">
        <v>163</v>
      </c>
      <c r="B186" s="36">
        <v>33.439946289775989</v>
      </c>
    </row>
    <row r="187" spans="1:2" x14ac:dyDescent="0.2">
      <c r="A187">
        <v>164</v>
      </c>
      <c r="B187" s="36">
        <v>38.143826879456064</v>
      </c>
    </row>
    <row r="188" spans="1:2" x14ac:dyDescent="0.2">
      <c r="A188">
        <v>165</v>
      </c>
      <c r="B188" s="36">
        <v>40.071728405260956</v>
      </c>
    </row>
    <row r="189" spans="1:2" x14ac:dyDescent="0.2">
      <c r="A189">
        <v>166</v>
      </c>
      <c r="B189" s="36">
        <v>43.97846923893642</v>
      </c>
    </row>
    <row r="190" spans="1:2" x14ac:dyDescent="0.2">
      <c r="A190">
        <v>167</v>
      </c>
      <c r="B190" s="36">
        <v>46.000031765852491</v>
      </c>
    </row>
    <row r="191" spans="1:2" x14ac:dyDescent="0.2">
      <c r="A191">
        <v>168</v>
      </c>
      <c r="B191" s="36">
        <v>37.901045896588158</v>
      </c>
    </row>
    <row r="192" spans="1:2" x14ac:dyDescent="0.2">
      <c r="A192">
        <v>169</v>
      </c>
      <c r="B192" s="36">
        <v>38.502626261346698</v>
      </c>
    </row>
    <row r="193" spans="1:2" x14ac:dyDescent="0.2">
      <c r="A193">
        <v>170</v>
      </c>
      <c r="B193" s="36">
        <v>33.217973756233079</v>
      </c>
    </row>
    <row r="194" spans="1:2" x14ac:dyDescent="0.2">
      <c r="A194">
        <v>171</v>
      </c>
      <c r="B194" s="36">
        <v>39.331872653047569</v>
      </c>
    </row>
    <row r="195" spans="1:2" x14ac:dyDescent="0.2">
      <c r="A195">
        <v>172</v>
      </c>
      <c r="B195" s="36">
        <v>38.790194312185058</v>
      </c>
    </row>
    <row r="196" spans="1:2" x14ac:dyDescent="0.2">
      <c r="A196">
        <v>173</v>
      </c>
      <c r="B196" s="36">
        <v>33.835799592015412</v>
      </c>
    </row>
    <row r="197" spans="1:2" x14ac:dyDescent="0.2">
      <c r="A197">
        <v>174</v>
      </c>
      <c r="B197" s="36">
        <v>45.09286730509524</v>
      </c>
    </row>
    <row r="198" spans="1:2" x14ac:dyDescent="0.2">
      <c r="A198">
        <v>175</v>
      </c>
      <c r="B198" s="36">
        <v>41.179625332572698</v>
      </c>
    </row>
    <row r="199" spans="1:2" x14ac:dyDescent="0.2">
      <c r="A199">
        <v>176</v>
      </c>
      <c r="B199" s="36">
        <v>52.571296987466539</v>
      </c>
    </row>
    <row r="200" spans="1:2" x14ac:dyDescent="0.2">
      <c r="A200">
        <v>177</v>
      </c>
      <c r="B200" s="36">
        <v>39.675078569108827</v>
      </c>
    </row>
    <row r="201" spans="1:2" x14ac:dyDescent="0.2">
      <c r="A201">
        <v>178</v>
      </c>
      <c r="B201" s="36">
        <v>57.281294087852601</v>
      </c>
    </row>
    <row r="202" spans="1:2" x14ac:dyDescent="0.2">
      <c r="A202">
        <v>179</v>
      </c>
      <c r="B202" s="36">
        <v>48.881951863197763</v>
      </c>
    </row>
    <row r="203" spans="1:2" x14ac:dyDescent="0.2">
      <c r="A203">
        <v>180</v>
      </c>
      <c r="B203" s="36">
        <v>33.680883354970078</v>
      </c>
    </row>
    <row r="204" spans="1:2" x14ac:dyDescent="0.2">
      <c r="A204">
        <v>181</v>
      </c>
      <c r="B204" s="36">
        <v>50.024720174160194</v>
      </c>
    </row>
    <row r="205" spans="1:2" x14ac:dyDescent="0.2">
      <c r="A205">
        <v>182</v>
      </c>
      <c r="B205" s="36">
        <v>46.396084117052496</v>
      </c>
    </row>
    <row r="206" spans="1:2" x14ac:dyDescent="0.2">
      <c r="A206">
        <v>183</v>
      </c>
      <c r="B206" s="36">
        <v>42.326650077745775</v>
      </c>
    </row>
    <row r="207" spans="1:2" x14ac:dyDescent="0.2">
      <c r="A207">
        <v>184</v>
      </c>
      <c r="B207" s="36">
        <v>38.025070352815625</v>
      </c>
    </row>
    <row r="208" spans="1:2" x14ac:dyDescent="0.2">
      <c r="A208">
        <v>185</v>
      </c>
      <c r="B208" s="36">
        <v>42.1292072203766</v>
      </c>
    </row>
    <row r="209" spans="1:2" x14ac:dyDescent="0.2">
      <c r="A209">
        <v>186</v>
      </c>
      <c r="B209" s="36">
        <v>36.261554506587416</v>
      </c>
    </row>
    <row r="210" spans="1:2" x14ac:dyDescent="0.2">
      <c r="A210">
        <v>187</v>
      </c>
      <c r="B210" s="36">
        <v>50.279219031941039</v>
      </c>
    </row>
    <row r="211" spans="1:2" x14ac:dyDescent="0.2">
      <c r="A211">
        <v>188</v>
      </c>
      <c r="B211" s="36">
        <v>38.166211301143882</v>
      </c>
    </row>
    <row r="212" spans="1:2" x14ac:dyDescent="0.2">
      <c r="A212">
        <v>189</v>
      </c>
      <c r="B212" s="36">
        <v>41.252261634149356</v>
      </c>
    </row>
    <row r="213" spans="1:2" x14ac:dyDescent="0.2">
      <c r="A213">
        <v>190</v>
      </c>
      <c r="B213" s="36">
        <v>53.430754788505865</v>
      </c>
    </row>
    <row r="214" spans="1:2" x14ac:dyDescent="0.2">
      <c r="A214">
        <v>191</v>
      </c>
      <c r="B214" s="36">
        <v>55.449146326819566</v>
      </c>
    </row>
    <row r="215" spans="1:2" x14ac:dyDescent="0.2">
      <c r="A215">
        <v>192</v>
      </c>
      <c r="B215" s="36">
        <v>35.01779627818474</v>
      </c>
    </row>
    <row r="216" spans="1:2" x14ac:dyDescent="0.2">
      <c r="A216">
        <v>193</v>
      </c>
      <c r="B216" s="36">
        <v>43.475942710627649</v>
      </c>
    </row>
    <row r="217" spans="1:2" x14ac:dyDescent="0.2">
      <c r="A217">
        <v>194</v>
      </c>
      <c r="B217" s="36">
        <v>48.540102610869837</v>
      </c>
    </row>
    <row r="218" spans="1:2" x14ac:dyDescent="0.2">
      <c r="A218">
        <v>195</v>
      </c>
      <c r="B218" s="36">
        <v>52.201014683342407</v>
      </c>
    </row>
    <row r="219" spans="1:2" x14ac:dyDescent="0.2">
      <c r="A219">
        <v>196</v>
      </c>
      <c r="B219" s="36">
        <v>42.171419885107781</v>
      </c>
    </row>
    <row r="220" spans="1:2" x14ac:dyDescent="0.2">
      <c r="A220">
        <v>197</v>
      </c>
      <c r="B220" s="36">
        <v>39.171310117809647</v>
      </c>
    </row>
    <row r="221" spans="1:2" x14ac:dyDescent="0.2">
      <c r="A221">
        <v>198</v>
      </c>
      <c r="B221" s="36">
        <v>53.394609993666243</v>
      </c>
    </row>
    <row r="222" spans="1:2" x14ac:dyDescent="0.2">
      <c r="A222">
        <v>199</v>
      </c>
      <c r="B222" s="36">
        <v>44.997446826619296</v>
      </c>
    </row>
    <row r="223" spans="1:2" x14ac:dyDescent="0.2">
      <c r="A223">
        <v>200</v>
      </c>
      <c r="B223" s="36">
        <v>48.809960396119628</v>
      </c>
    </row>
    <row r="224" spans="1:2" x14ac:dyDescent="0.2">
      <c r="A224">
        <v>201</v>
      </c>
      <c r="B224" s="36">
        <v>41.58121203896939</v>
      </c>
    </row>
    <row r="225" spans="1:2" x14ac:dyDescent="0.2">
      <c r="A225">
        <v>202</v>
      </c>
      <c r="B225" s="36">
        <v>37.42534303144491</v>
      </c>
    </row>
    <row r="226" spans="1:2" x14ac:dyDescent="0.2">
      <c r="A226">
        <v>203</v>
      </c>
      <c r="B226" s="36">
        <v>35.219159952958009</v>
      </c>
    </row>
    <row r="227" spans="1:2" x14ac:dyDescent="0.2">
      <c r="A227">
        <v>204</v>
      </c>
      <c r="B227" s="36">
        <v>41.726217748994678</v>
      </c>
    </row>
    <row r="228" spans="1:2" x14ac:dyDescent="0.2">
      <c r="A228">
        <v>205</v>
      </c>
      <c r="B228" s="36">
        <v>45.833263609286597</v>
      </c>
    </row>
    <row r="229" spans="1:2" x14ac:dyDescent="0.2">
      <c r="A229">
        <v>206</v>
      </c>
      <c r="B229" s="36">
        <v>43.411829220653182</v>
      </c>
    </row>
    <row r="230" spans="1:2" x14ac:dyDescent="0.2">
      <c r="A230">
        <v>207</v>
      </c>
      <c r="B230" s="36">
        <v>34.390136331398814</v>
      </c>
    </row>
    <row r="231" spans="1:2" x14ac:dyDescent="0.2">
      <c r="A231">
        <v>208</v>
      </c>
      <c r="B231" s="36">
        <v>39.493281925588263</v>
      </c>
    </row>
    <row r="232" spans="1:2" x14ac:dyDescent="0.2">
      <c r="A232">
        <v>209</v>
      </c>
      <c r="B232" s="36">
        <v>40.704760340616041</v>
      </c>
    </row>
    <row r="233" spans="1:2" x14ac:dyDescent="0.2">
      <c r="A233">
        <v>210</v>
      </c>
      <c r="B233" s="36">
        <v>38.425853746577452</v>
      </c>
    </row>
    <row r="234" spans="1:2" x14ac:dyDescent="0.2">
      <c r="A234">
        <v>211</v>
      </c>
      <c r="B234" s="36">
        <v>38.187215107568598</v>
      </c>
    </row>
    <row r="235" spans="1:2" x14ac:dyDescent="0.2">
      <c r="A235">
        <v>212</v>
      </c>
      <c r="B235" s="36">
        <v>41.957891220836032</v>
      </c>
    </row>
    <row r="236" spans="1:2" x14ac:dyDescent="0.2">
      <c r="A236">
        <v>213</v>
      </c>
      <c r="B236" s="36">
        <v>41.228121084483277</v>
      </c>
    </row>
    <row r="237" spans="1:2" x14ac:dyDescent="0.2">
      <c r="A237">
        <v>214</v>
      </c>
      <c r="B237" s="36">
        <v>37.816358730282793</v>
      </c>
    </row>
    <row r="238" spans="1:2" x14ac:dyDescent="0.2">
      <c r="A238">
        <v>215</v>
      </c>
      <c r="B238" s="36">
        <v>40.537133520858404</v>
      </c>
    </row>
    <row r="239" spans="1:2" x14ac:dyDescent="0.2">
      <c r="A239">
        <v>216</v>
      </c>
      <c r="B239" s="36">
        <v>39.059132178837324</v>
      </c>
    </row>
    <row r="240" spans="1:2" x14ac:dyDescent="0.2">
      <c r="A240">
        <v>217</v>
      </c>
      <c r="B240" s="36">
        <v>46.983311721109018</v>
      </c>
    </row>
    <row r="241" spans="1:2" x14ac:dyDescent="0.2">
      <c r="A241">
        <v>218</v>
      </c>
      <c r="B241" s="36">
        <v>39.32516055471433</v>
      </c>
    </row>
    <row r="242" spans="1:2" x14ac:dyDescent="0.2">
      <c r="A242">
        <v>219</v>
      </c>
      <c r="B242" s="36">
        <v>39.342764341342928</v>
      </c>
    </row>
    <row r="243" spans="1:2" x14ac:dyDescent="0.2">
      <c r="A243">
        <v>220</v>
      </c>
      <c r="B243" s="36">
        <v>36.803697584568205</v>
      </c>
    </row>
    <row r="244" spans="1:2" x14ac:dyDescent="0.2">
      <c r="A244">
        <v>221</v>
      </c>
      <c r="B244" s="36">
        <v>44.235542924805017</v>
      </c>
    </row>
    <row r="245" spans="1:2" x14ac:dyDescent="0.2">
      <c r="A245">
        <v>222</v>
      </c>
      <c r="B245" s="36">
        <v>42.972546607579233</v>
      </c>
    </row>
    <row r="246" spans="1:2" x14ac:dyDescent="0.2">
      <c r="A246">
        <v>223</v>
      </c>
      <c r="B246" s="36">
        <v>41.524196995980631</v>
      </c>
    </row>
    <row r="247" spans="1:2" x14ac:dyDescent="0.2">
      <c r="A247">
        <v>224</v>
      </c>
      <c r="B247" s="36">
        <v>42.212342163318226</v>
      </c>
    </row>
    <row r="248" spans="1:2" x14ac:dyDescent="0.2">
      <c r="A248">
        <v>225</v>
      </c>
      <c r="B248" s="36">
        <v>41.481943479875575</v>
      </c>
    </row>
    <row r="249" spans="1:2" x14ac:dyDescent="0.2">
      <c r="A249">
        <v>226</v>
      </c>
      <c r="B249" s="36">
        <v>42.60641782020852</v>
      </c>
    </row>
    <row r="250" spans="1:2" x14ac:dyDescent="0.2">
      <c r="A250">
        <v>227</v>
      </c>
      <c r="B250" s="36">
        <v>41.260069737702217</v>
      </c>
    </row>
    <row r="251" spans="1:2" x14ac:dyDescent="0.2">
      <c r="A251">
        <v>228</v>
      </c>
      <c r="B251" s="36">
        <v>31.34990323297572</v>
      </c>
    </row>
    <row r="252" spans="1:2" x14ac:dyDescent="0.2">
      <c r="A252">
        <v>229</v>
      </c>
      <c r="B252" s="36">
        <v>61.688441415922945</v>
      </c>
    </row>
    <row r="253" spans="1:2" x14ac:dyDescent="0.2">
      <c r="A253">
        <v>230</v>
      </c>
      <c r="B253" s="36">
        <v>53.60337082222776</v>
      </c>
    </row>
    <row r="254" spans="1:2" x14ac:dyDescent="0.2">
      <c r="A254">
        <v>231</v>
      </c>
      <c r="B254" s="36">
        <v>51.034904581447741</v>
      </c>
    </row>
    <row r="255" spans="1:2" x14ac:dyDescent="0.2">
      <c r="A255">
        <v>232</v>
      </c>
      <c r="B255" s="36">
        <v>43.841568439657017</v>
      </c>
    </row>
    <row r="256" spans="1:2" x14ac:dyDescent="0.2">
      <c r="A256">
        <v>233</v>
      </c>
      <c r="B256" s="36">
        <v>43.137010346963145</v>
      </c>
    </row>
    <row r="257" spans="1:2" x14ac:dyDescent="0.2">
      <c r="A257">
        <v>234</v>
      </c>
      <c r="B257" s="36">
        <v>41.981681849616649</v>
      </c>
    </row>
    <row r="258" spans="1:2" x14ac:dyDescent="0.2">
      <c r="A258">
        <v>235</v>
      </c>
      <c r="B258" s="36">
        <v>39.931064906678976</v>
      </c>
    </row>
    <row r="259" spans="1:2" x14ac:dyDescent="0.2">
      <c r="A259">
        <v>236</v>
      </c>
      <c r="B259" s="36">
        <v>37.455369466721393</v>
      </c>
    </row>
    <row r="260" spans="1:2" x14ac:dyDescent="0.2">
      <c r="A260">
        <v>237</v>
      </c>
      <c r="B260" s="36">
        <v>35.611974056041497</v>
      </c>
    </row>
    <row r="261" spans="1:2" x14ac:dyDescent="0.2">
      <c r="A261">
        <v>238</v>
      </c>
      <c r="B261" s="36">
        <v>43.722899551925977</v>
      </c>
    </row>
    <row r="262" spans="1:2" x14ac:dyDescent="0.2">
      <c r="A262">
        <v>239</v>
      </c>
      <c r="B262" s="36">
        <v>43.271057382592197</v>
      </c>
    </row>
    <row r="263" spans="1:2" x14ac:dyDescent="0.2">
      <c r="A263">
        <v>240</v>
      </c>
      <c r="B263" s="36">
        <v>38.074507629130181</v>
      </c>
    </row>
    <row r="264" spans="1:2" x14ac:dyDescent="0.2">
      <c r="A264">
        <v>241</v>
      </c>
      <c r="B264" s="36">
        <v>32.036015058670934</v>
      </c>
    </row>
    <row r="265" spans="1:2" x14ac:dyDescent="0.2">
      <c r="A265">
        <v>242</v>
      </c>
      <c r="B265" s="36">
        <v>48.006877593621049</v>
      </c>
    </row>
    <row r="266" spans="1:2" x14ac:dyDescent="0.2">
      <c r="A266">
        <v>243</v>
      </c>
      <c r="B266" s="36">
        <v>53.015068316706284</v>
      </c>
    </row>
    <row r="267" spans="1:2" x14ac:dyDescent="0.2">
      <c r="A267">
        <v>244</v>
      </c>
      <c r="B267" s="36">
        <v>46.933501237852681</v>
      </c>
    </row>
    <row r="268" spans="1:2" x14ac:dyDescent="0.2">
      <c r="A268">
        <v>245</v>
      </c>
      <c r="B268" s="36">
        <v>42.228023387858549</v>
      </c>
    </row>
    <row r="269" spans="1:2" x14ac:dyDescent="0.2">
      <c r="A269">
        <v>246</v>
      </c>
      <c r="B269" s="36">
        <v>38.846541123506498</v>
      </c>
    </row>
    <row r="270" spans="1:2" x14ac:dyDescent="0.2">
      <c r="A270">
        <v>247</v>
      </c>
      <c r="B270" s="36">
        <v>49.542634453656632</v>
      </c>
    </row>
    <row r="271" spans="1:2" x14ac:dyDescent="0.2">
      <c r="A271">
        <v>248</v>
      </c>
      <c r="B271" s="36">
        <v>38.74690149796362</v>
      </c>
    </row>
    <row r="272" spans="1:2" x14ac:dyDescent="0.2">
      <c r="A272">
        <v>249</v>
      </c>
      <c r="B272" s="36">
        <v>38.652684392954676</v>
      </c>
    </row>
    <row r="273" spans="1:2" x14ac:dyDescent="0.2">
      <c r="A273">
        <v>250</v>
      </c>
      <c r="B273" s="36">
        <v>61.411599971863836</v>
      </c>
    </row>
    <row r="274" spans="1:2" x14ac:dyDescent="0.2">
      <c r="A274">
        <v>251</v>
      </c>
      <c r="B274" s="36">
        <v>36.220997321549454</v>
      </c>
    </row>
    <row r="275" spans="1:2" x14ac:dyDescent="0.2">
      <c r="A275">
        <v>252</v>
      </c>
      <c r="B275" s="36">
        <v>40.607188954076008</v>
      </c>
    </row>
    <row r="276" spans="1:2" x14ac:dyDescent="0.2">
      <c r="A276">
        <v>253</v>
      </c>
      <c r="B276" s="36">
        <v>41.864466438021147</v>
      </c>
    </row>
    <row r="277" spans="1:2" x14ac:dyDescent="0.2">
      <c r="A277">
        <v>254</v>
      </c>
      <c r="B277" s="36">
        <v>44.564755065454207</v>
      </c>
    </row>
    <row r="278" spans="1:2" x14ac:dyDescent="0.2">
      <c r="A278">
        <v>255</v>
      </c>
      <c r="B278" s="36">
        <v>48.804329603383316</v>
      </c>
    </row>
    <row r="279" spans="1:2" x14ac:dyDescent="0.2">
      <c r="A279">
        <v>256</v>
      </c>
      <c r="B279" s="36">
        <v>32.479895339229159</v>
      </c>
    </row>
    <row r="280" spans="1:2" x14ac:dyDescent="0.2">
      <c r="A280">
        <v>257</v>
      </c>
      <c r="B280" s="36">
        <v>47.388918354501513</v>
      </c>
    </row>
    <row r="281" spans="1:2" x14ac:dyDescent="0.2">
      <c r="A281">
        <v>258</v>
      </c>
      <c r="B281" s="36">
        <v>41.368943272031039</v>
      </c>
    </row>
    <row r="282" spans="1:2" x14ac:dyDescent="0.2">
      <c r="A282">
        <v>259</v>
      </c>
      <c r="B282" s="36">
        <v>38.235063742335278</v>
      </c>
    </row>
    <row r="283" spans="1:2" x14ac:dyDescent="0.2">
      <c r="A283">
        <v>260</v>
      </c>
      <c r="B283" s="36">
        <v>39.63277831243785</v>
      </c>
    </row>
    <row r="284" spans="1:2" x14ac:dyDescent="0.2">
      <c r="A284">
        <v>261</v>
      </c>
      <c r="B284" s="36">
        <v>62.659780807734307</v>
      </c>
    </row>
    <row r="285" spans="1:2" x14ac:dyDescent="0.2">
      <c r="A285">
        <v>262</v>
      </c>
      <c r="B285" s="36">
        <v>41.540937184251447</v>
      </c>
    </row>
    <row r="286" spans="1:2" x14ac:dyDescent="0.2">
      <c r="A286">
        <v>263</v>
      </c>
      <c r="B286" s="36">
        <v>56.658417161195842</v>
      </c>
    </row>
    <row r="287" spans="1:2" x14ac:dyDescent="0.2">
      <c r="A287">
        <v>264</v>
      </c>
      <c r="B287" s="36">
        <v>34.537500583335415</v>
      </c>
    </row>
    <row r="288" spans="1:2" x14ac:dyDescent="0.2">
      <c r="A288">
        <v>265</v>
      </c>
      <c r="B288" s="36">
        <v>42.535375424352722</v>
      </c>
    </row>
    <row r="289" spans="1:2" x14ac:dyDescent="0.2">
      <c r="A289">
        <v>266</v>
      </c>
      <c r="B289" s="36">
        <v>55.395704294377516</v>
      </c>
    </row>
    <row r="290" spans="1:2" x14ac:dyDescent="0.2">
      <c r="A290">
        <v>267</v>
      </c>
      <c r="B290" s="36">
        <v>45.292437547947841</v>
      </c>
    </row>
    <row r="291" spans="1:2" x14ac:dyDescent="0.2">
      <c r="A291">
        <v>268</v>
      </c>
      <c r="B291" s="36">
        <v>42.296748958545201</v>
      </c>
    </row>
    <row r="292" spans="1:2" x14ac:dyDescent="0.2">
      <c r="A292">
        <v>269</v>
      </c>
      <c r="B292" s="36">
        <v>40.606366612707212</v>
      </c>
    </row>
    <row r="293" spans="1:2" x14ac:dyDescent="0.2">
      <c r="A293">
        <v>270</v>
      </c>
      <c r="B293" s="36">
        <v>38.973361668470901</v>
      </c>
    </row>
    <row r="294" spans="1:2" x14ac:dyDescent="0.2">
      <c r="A294">
        <v>271</v>
      </c>
      <c r="B294" s="36">
        <v>49.396023309772445</v>
      </c>
    </row>
    <row r="295" spans="1:2" x14ac:dyDescent="0.2">
      <c r="A295">
        <v>272</v>
      </c>
      <c r="B295" s="36">
        <v>47.719473058642286</v>
      </c>
    </row>
    <row r="296" spans="1:2" x14ac:dyDescent="0.2">
      <c r="A296">
        <v>273</v>
      </c>
      <c r="B296" s="36">
        <v>34.95529462794007</v>
      </c>
    </row>
    <row r="297" spans="1:2" x14ac:dyDescent="0.2">
      <c r="A297">
        <v>274</v>
      </c>
      <c r="B297" s="36">
        <v>52.516362096634268</v>
      </c>
    </row>
    <row r="298" spans="1:2" x14ac:dyDescent="0.2">
      <c r="A298">
        <v>275</v>
      </c>
      <c r="B298" s="36">
        <v>37.002328936868743</v>
      </c>
    </row>
    <row r="299" spans="1:2" x14ac:dyDescent="0.2">
      <c r="A299">
        <v>276</v>
      </c>
      <c r="B299" s="36">
        <v>43.369405704012678</v>
      </c>
    </row>
    <row r="300" spans="1:2" x14ac:dyDescent="0.2">
      <c r="A300">
        <v>277</v>
      </c>
      <c r="B300" s="36">
        <v>41.445313710064482</v>
      </c>
    </row>
    <row r="301" spans="1:2" x14ac:dyDescent="0.2">
      <c r="A301">
        <v>278</v>
      </c>
      <c r="B301" s="36">
        <v>60.708188716031536</v>
      </c>
    </row>
    <row r="302" spans="1:2" x14ac:dyDescent="0.2">
      <c r="A302">
        <v>279</v>
      </c>
      <c r="B302" s="36">
        <v>40.956751496550766</v>
      </c>
    </row>
    <row r="303" spans="1:2" x14ac:dyDescent="0.2">
      <c r="A303">
        <v>280</v>
      </c>
      <c r="B303" s="36">
        <v>40.857803379453287</v>
      </c>
    </row>
    <row r="304" spans="1:2" x14ac:dyDescent="0.2">
      <c r="A304">
        <v>281</v>
      </c>
      <c r="B304" s="36">
        <v>39.6303274554583</v>
      </c>
    </row>
    <row r="305" spans="1:2" x14ac:dyDescent="0.2">
      <c r="A305">
        <v>282</v>
      </c>
      <c r="B305" s="36">
        <v>55.387027527106838</v>
      </c>
    </row>
    <row r="306" spans="1:2" x14ac:dyDescent="0.2">
      <c r="A306">
        <v>283</v>
      </c>
      <c r="B306" s="36">
        <v>42.207612334225871</v>
      </c>
    </row>
    <row r="307" spans="1:2" x14ac:dyDescent="0.2">
      <c r="A307">
        <v>284</v>
      </c>
      <c r="B307" s="36">
        <v>37.56890775513547</v>
      </c>
    </row>
    <row r="308" spans="1:2" x14ac:dyDescent="0.2">
      <c r="A308">
        <v>285</v>
      </c>
      <c r="B308" s="36">
        <v>43.06885846648418</v>
      </c>
    </row>
    <row r="309" spans="1:2" x14ac:dyDescent="0.2">
      <c r="A309">
        <v>286</v>
      </c>
      <c r="B309" s="36">
        <v>41.961602067107123</v>
      </c>
    </row>
    <row r="310" spans="1:2" x14ac:dyDescent="0.2">
      <c r="A310">
        <v>287</v>
      </c>
      <c r="B310" s="36">
        <v>53.374833953396376</v>
      </c>
    </row>
    <row r="311" spans="1:2" x14ac:dyDescent="0.2">
      <c r="A311">
        <v>288</v>
      </c>
      <c r="B311" s="36">
        <v>58.837339731732953</v>
      </c>
    </row>
    <row r="312" spans="1:2" x14ac:dyDescent="0.2">
      <c r="A312">
        <v>289</v>
      </c>
      <c r="B312" s="36">
        <v>50.732237865055225</v>
      </c>
    </row>
    <row r="313" spans="1:2" x14ac:dyDescent="0.2">
      <c r="A313">
        <v>290</v>
      </c>
      <c r="B313" s="36">
        <v>42.925801562046537</v>
      </c>
    </row>
    <row r="314" spans="1:2" x14ac:dyDescent="0.2">
      <c r="A314">
        <v>291</v>
      </c>
      <c r="B314" s="36">
        <v>44.082544585865136</v>
      </c>
    </row>
    <row r="315" spans="1:2" x14ac:dyDescent="0.2">
      <c r="A315">
        <v>292</v>
      </c>
      <c r="B315" s="36">
        <v>32.149293091202146</v>
      </c>
    </row>
    <row r="316" spans="1:2" x14ac:dyDescent="0.2">
      <c r="A316">
        <v>293</v>
      </c>
      <c r="B316" s="36">
        <v>34.37419830057673</v>
      </c>
    </row>
    <row r="317" spans="1:2" x14ac:dyDescent="0.2">
      <c r="A317">
        <v>294</v>
      </c>
      <c r="B317" s="36">
        <v>37.110902593930795</v>
      </c>
    </row>
    <row r="318" spans="1:2" x14ac:dyDescent="0.2">
      <c r="A318">
        <v>295</v>
      </c>
      <c r="B318" s="36">
        <v>37.26687116915511</v>
      </c>
    </row>
    <row r="319" spans="1:2" x14ac:dyDescent="0.2">
      <c r="A319">
        <v>296</v>
      </c>
      <c r="B319" s="36">
        <v>41.358235102637671</v>
      </c>
    </row>
    <row r="320" spans="1:2" x14ac:dyDescent="0.2">
      <c r="A320">
        <v>297</v>
      </c>
      <c r="B320" s="36">
        <v>46.325599420462375</v>
      </c>
    </row>
    <row r="321" spans="1:2" x14ac:dyDescent="0.2">
      <c r="A321">
        <v>298</v>
      </c>
      <c r="B321" s="36">
        <v>45.83457574474243</v>
      </c>
    </row>
    <row r="322" spans="1:2" x14ac:dyDescent="0.2">
      <c r="A322">
        <v>299</v>
      </c>
      <c r="B322" s="36">
        <v>38.549167923118389</v>
      </c>
    </row>
    <row r="323" spans="1:2" x14ac:dyDescent="0.2">
      <c r="A323">
        <v>300</v>
      </c>
      <c r="B323" s="36">
        <v>32.404827121396465</v>
      </c>
    </row>
    <row r="324" spans="1:2" x14ac:dyDescent="0.2">
      <c r="A324">
        <v>301</v>
      </c>
      <c r="B324" s="36">
        <v>44.819474938276258</v>
      </c>
    </row>
    <row r="325" spans="1:2" x14ac:dyDescent="0.2">
      <c r="A325">
        <v>302</v>
      </c>
      <c r="B325" s="36">
        <v>43.678737224841825</v>
      </c>
    </row>
    <row r="326" spans="1:2" x14ac:dyDescent="0.2">
      <c r="A326">
        <v>303</v>
      </c>
      <c r="B326" s="36">
        <v>54.866495202535873</v>
      </c>
    </row>
    <row r="327" spans="1:2" x14ac:dyDescent="0.2">
      <c r="A327">
        <v>304</v>
      </c>
      <c r="B327" s="36">
        <v>38.569297588039348</v>
      </c>
    </row>
    <row r="328" spans="1:2" x14ac:dyDescent="0.2">
      <c r="A328">
        <v>305</v>
      </c>
      <c r="B328" s="36">
        <v>38.587650332968515</v>
      </c>
    </row>
    <row r="329" spans="1:2" x14ac:dyDescent="0.2">
      <c r="A329">
        <v>306</v>
      </c>
      <c r="B329" s="36">
        <v>42.43997940159089</v>
      </c>
    </row>
    <row r="330" spans="1:2" x14ac:dyDescent="0.2">
      <c r="A330">
        <v>307</v>
      </c>
      <c r="B330" s="36">
        <v>41.316563308283662</v>
      </c>
    </row>
    <row r="331" spans="1:2" x14ac:dyDescent="0.2">
      <c r="A331">
        <v>308</v>
      </c>
      <c r="B331" s="36">
        <v>39.841354719855275</v>
      </c>
    </row>
    <row r="332" spans="1:2" x14ac:dyDescent="0.2">
      <c r="A332">
        <v>309</v>
      </c>
      <c r="B332" s="36">
        <v>31.507531085030834</v>
      </c>
    </row>
    <row r="333" spans="1:2" x14ac:dyDescent="0.2">
      <c r="A333">
        <v>310</v>
      </c>
      <c r="B333" s="36">
        <v>40.075240224871202</v>
      </c>
    </row>
    <row r="334" spans="1:2" x14ac:dyDescent="0.2">
      <c r="A334">
        <v>311</v>
      </c>
      <c r="B334" s="36">
        <v>50.686941970533951</v>
      </c>
    </row>
    <row r="335" spans="1:2" x14ac:dyDescent="0.2">
      <c r="A335">
        <v>312</v>
      </c>
      <c r="B335" s="36">
        <v>44.975630484556014</v>
      </c>
    </row>
    <row r="336" spans="1:2" x14ac:dyDescent="0.2">
      <c r="A336">
        <v>313</v>
      </c>
      <c r="B336" s="36">
        <v>39.734669349930329</v>
      </c>
    </row>
    <row r="337" spans="1:2" x14ac:dyDescent="0.2">
      <c r="A337">
        <v>314</v>
      </c>
      <c r="B337" s="36">
        <v>35.262539835299002</v>
      </c>
    </row>
    <row r="338" spans="1:2" x14ac:dyDescent="0.2">
      <c r="A338">
        <v>315</v>
      </c>
      <c r="B338" s="36">
        <v>60.048557788853522</v>
      </c>
    </row>
    <row r="339" spans="1:2" x14ac:dyDescent="0.2">
      <c r="A339">
        <v>316</v>
      </c>
      <c r="B339" s="36">
        <v>44.084822650970096</v>
      </c>
    </row>
    <row r="340" spans="1:2" x14ac:dyDescent="0.2">
      <c r="A340">
        <v>317</v>
      </c>
      <c r="B340" s="36">
        <v>42.652611614895584</v>
      </c>
    </row>
    <row r="341" spans="1:2" x14ac:dyDescent="0.2">
      <c r="A341">
        <v>318</v>
      </c>
      <c r="B341" s="36">
        <v>45.779019150651365</v>
      </c>
    </row>
    <row r="342" spans="1:2" x14ac:dyDescent="0.2">
      <c r="A342">
        <v>319</v>
      </c>
      <c r="B342" s="36">
        <v>39.484354887389657</v>
      </c>
    </row>
    <row r="343" spans="1:2" x14ac:dyDescent="0.2">
      <c r="A343">
        <v>320</v>
      </c>
      <c r="B343" s="36">
        <v>36.676576776637532</v>
      </c>
    </row>
    <row r="344" spans="1:2" x14ac:dyDescent="0.2">
      <c r="A344">
        <v>321</v>
      </c>
      <c r="B344" s="36">
        <v>41.91033840853855</v>
      </c>
    </row>
    <row r="345" spans="1:2" x14ac:dyDescent="0.2">
      <c r="A345">
        <v>322</v>
      </c>
      <c r="B345" s="36">
        <v>57.21463883602285</v>
      </c>
    </row>
    <row r="346" spans="1:2" x14ac:dyDescent="0.2">
      <c r="A346">
        <v>323</v>
      </c>
      <c r="B346" s="36">
        <v>50.660590709824909</v>
      </c>
    </row>
    <row r="347" spans="1:2" x14ac:dyDescent="0.2">
      <c r="A347">
        <v>324</v>
      </c>
      <c r="B347" s="36">
        <v>41.889985860757456</v>
      </c>
    </row>
    <row r="348" spans="1:2" x14ac:dyDescent="0.2">
      <c r="A348">
        <v>325</v>
      </c>
      <c r="B348" s="36">
        <v>47.643717630187133</v>
      </c>
    </row>
    <row r="349" spans="1:2" x14ac:dyDescent="0.2">
      <c r="A349">
        <v>326</v>
      </c>
      <c r="B349" s="36">
        <v>57.89106827703079</v>
      </c>
    </row>
    <row r="350" spans="1:2" x14ac:dyDescent="0.2">
      <c r="A350">
        <v>327</v>
      </c>
      <c r="B350" s="36">
        <v>41.065950547230393</v>
      </c>
    </row>
    <row r="351" spans="1:2" x14ac:dyDescent="0.2">
      <c r="A351">
        <v>328</v>
      </c>
      <c r="B351" s="36">
        <v>38.679644802976235</v>
      </c>
    </row>
    <row r="352" spans="1:2" x14ac:dyDescent="0.2">
      <c r="A352">
        <v>329</v>
      </c>
      <c r="B352" s="36">
        <v>36.365805007765303</v>
      </c>
    </row>
    <row r="353" spans="1:2" x14ac:dyDescent="0.2">
      <c r="A353">
        <v>330</v>
      </c>
      <c r="B353" s="36">
        <v>34.176518915468243</v>
      </c>
    </row>
    <row r="354" spans="1:2" x14ac:dyDescent="0.2">
      <c r="A354">
        <v>331</v>
      </c>
      <c r="B354" s="36">
        <v>46.81206497701109</v>
      </c>
    </row>
    <row r="355" spans="1:2" x14ac:dyDescent="0.2">
      <c r="A355">
        <v>332</v>
      </c>
      <c r="B355" s="36">
        <v>42.928138055818017</v>
      </c>
    </row>
    <row r="356" spans="1:2" x14ac:dyDescent="0.2">
      <c r="A356">
        <v>333</v>
      </c>
      <c r="B356" s="36">
        <v>56.004702820839213</v>
      </c>
    </row>
    <row r="357" spans="1:2" x14ac:dyDescent="0.2">
      <c r="A357">
        <v>334</v>
      </c>
      <c r="B357" s="36">
        <v>40.193892465863335</v>
      </c>
    </row>
    <row r="358" spans="1:2" x14ac:dyDescent="0.2">
      <c r="A358">
        <v>335</v>
      </c>
      <c r="B358" s="36">
        <v>36.693080604560969</v>
      </c>
    </row>
    <row r="359" spans="1:2" x14ac:dyDescent="0.2">
      <c r="A359">
        <v>336</v>
      </c>
      <c r="B359" s="36">
        <v>42.684657606829525</v>
      </c>
    </row>
    <row r="360" spans="1:2" x14ac:dyDescent="0.2">
      <c r="A360">
        <v>337</v>
      </c>
      <c r="B360" s="36">
        <v>37.160141031201434</v>
      </c>
    </row>
    <row r="361" spans="1:2" x14ac:dyDescent="0.2">
      <c r="A361">
        <v>338</v>
      </c>
      <c r="B361" s="36">
        <v>41.040010992752428</v>
      </c>
    </row>
    <row r="362" spans="1:2" x14ac:dyDescent="0.2">
      <c r="A362">
        <v>339</v>
      </c>
      <c r="B362" s="36">
        <v>40.943753227096629</v>
      </c>
    </row>
    <row r="363" spans="1:2" x14ac:dyDescent="0.2">
      <c r="A363">
        <v>340</v>
      </c>
      <c r="B363" s="36">
        <v>38.739985749775421</v>
      </c>
    </row>
    <row r="364" spans="1:2" x14ac:dyDescent="0.2">
      <c r="A364">
        <v>341</v>
      </c>
      <c r="B364" s="36">
        <v>37.099821030392832</v>
      </c>
    </row>
    <row r="365" spans="1:2" x14ac:dyDescent="0.2">
      <c r="A365">
        <v>342</v>
      </c>
      <c r="B365" s="36">
        <v>50.078846430095254</v>
      </c>
    </row>
    <row r="366" spans="1:2" x14ac:dyDescent="0.2">
      <c r="A366">
        <v>343</v>
      </c>
      <c r="B366" s="36">
        <v>45.791872694172419</v>
      </c>
    </row>
    <row r="367" spans="1:2" x14ac:dyDescent="0.2">
      <c r="A367">
        <v>344</v>
      </c>
      <c r="B367" s="36">
        <v>34.761137126234786</v>
      </c>
    </row>
    <row r="368" spans="1:2" x14ac:dyDescent="0.2">
      <c r="A368">
        <v>345</v>
      </c>
      <c r="B368" s="36">
        <v>45.14988254481122</v>
      </c>
    </row>
    <row r="369" spans="1:2" x14ac:dyDescent="0.2">
      <c r="A369">
        <v>346</v>
      </c>
      <c r="B369" s="36">
        <v>41.374621551673613</v>
      </c>
    </row>
    <row r="370" spans="1:2" x14ac:dyDescent="0.2">
      <c r="A370">
        <v>347</v>
      </c>
      <c r="B370" s="36">
        <v>60.274761135403629</v>
      </c>
    </row>
    <row r="371" spans="1:2" x14ac:dyDescent="0.2">
      <c r="A371">
        <v>348</v>
      </c>
      <c r="B371" s="36">
        <v>46.664892972225729</v>
      </c>
    </row>
    <row r="372" spans="1:2" x14ac:dyDescent="0.2">
      <c r="A372">
        <v>349</v>
      </c>
      <c r="B372" s="36">
        <v>39.911746476770738</v>
      </c>
    </row>
    <row r="373" spans="1:2" x14ac:dyDescent="0.2">
      <c r="A373">
        <v>350</v>
      </c>
      <c r="B373" s="36">
        <v>35.254427789334521</v>
      </c>
    </row>
    <row r="374" spans="1:2" x14ac:dyDescent="0.2">
      <c r="A374">
        <v>351</v>
      </c>
      <c r="B374" s="36">
        <v>41.615046292356134</v>
      </c>
    </row>
    <row r="375" spans="1:2" x14ac:dyDescent="0.2">
      <c r="A375">
        <v>352</v>
      </c>
      <c r="B375" s="36">
        <v>38.31511768192015</v>
      </c>
    </row>
    <row r="376" spans="1:2" x14ac:dyDescent="0.2">
      <c r="A376">
        <v>353</v>
      </c>
      <c r="B376" s="36">
        <v>42.017463346575404</v>
      </c>
    </row>
    <row r="377" spans="1:2" x14ac:dyDescent="0.2">
      <c r="A377">
        <v>354</v>
      </c>
      <c r="B377" s="36">
        <v>34.293772718831242</v>
      </c>
    </row>
    <row r="378" spans="1:2" x14ac:dyDescent="0.2">
      <c r="A378">
        <v>355</v>
      </c>
      <c r="B378" s="36">
        <v>36.491743304738563</v>
      </c>
    </row>
    <row r="379" spans="1:2" x14ac:dyDescent="0.2">
      <c r="A379">
        <v>356</v>
      </c>
      <c r="B379" s="36">
        <v>38.55211008371144</v>
      </c>
    </row>
    <row r="380" spans="1:2" x14ac:dyDescent="0.2">
      <c r="A380">
        <v>357</v>
      </c>
      <c r="B380" s="36">
        <v>49.014155847129643</v>
      </c>
    </row>
    <row r="381" spans="1:2" x14ac:dyDescent="0.2">
      <c r="A381">
        <v>358</v>
      </c>
      <c r="B381" s="36">
        <v>47.464664606278006</v>
      </c>
    </row>
    <row r="382" spans="1:2" x14ac:dyDescent="0.2">
      <c r="A382">
        <v>359</v>
      </c>
      <c r="B382" s="36">
        <v>36.818259739020121</v>
      </c>
    </row>
    <row r="383" spans="1:2" x14ac:dyDescent="0.2">
      <c r="A383">
        <v>360</v>
      </c>
      <c r="B383" s="36">
        <v>44.457016658357063</v>
      </c>
    </row>
    <row r="384" spans="1:2" x14ac:dyDescent="0.2">
      <c r="A384">
        <v>361</v>
      </c>
      <c r="B384" s="36">
        <v>42.132321439421389</v>
      </c>
    </row>
    <row r="385" spans="1:2" x14ac:dyDescent="0.2">
      <c r="A385">
        <v>362</v>
      </c>
      <c r="B385" s="36">
        <v>40.351116672373145</v>
      </c>
    </row>
    <row r="386" spans="1:2" x14ac:dyDescent="0.2">
      <c r="A386">
        <v>363</v>
      </c>
      <c r="B386" s="36">
        <v>40.052792754944512</v>
      </c>
    </row>
    <row r="387" spans="1:2" x14ac:dyDescent="0.2">
      <c r="A387">
        <v>364</v>
      </c>
      <c r="B387" s="36">
        <v>46.771100292654332</v>
      </c>
    </row>
    <row r="388" spans="1:2" x14ac:dyDescent="0.2">
      <c r="A388">
        <v>365</v>
      </c>
      <c r="B388" s="36">
        <v>39.035193876636342</v>
      </c>
    </row>
    <row r="389" spans="1:2" x14ac:dyDescent="0.2">
      <c r="A389">
        <v>366</v>
      </c>
      <c r="B389" s="36">
        <v>38.05944656193217</v>
      </c>
    </row>
    <row r="390" spans="1:2" x14ac:dyDescent="0.2">
      <c r="A390">
        <v>367</v>
      </c>
      <c r="B390" s="36">
        <v>37.660425128136559</v>
      </c>
    </row>
    <row r="391" spans="1:2" x14ac:dyDescent="0.2">
      <c r="A391">
        <v>368</v>
      </c>
      <c r="B391" s="36">
        <v>44.333889159967313</v>
      </c>
    </row>
    <row r="392" spans="1:2" x14ac:dyDescent="0.2">
      <c r="A392">
        <v>369</v>
      </c>
      <c r="B392" s="36">
        <v>40.385130319542725</v>
      </c>
    </row>
    <row r="393" spans="1:2" x14ac:dyDescent="0.2">
      <c r="A393">
        <v>370</v>
      </c>
      <c r="B393" s="36">
        <v>57.711051940789758</v>
      </c>
    </row>
    <row r="394" spans="1:2" x14ac:dyDescent="0.2">
      <c r="A394">
        <v>371</v>
      </c>
      <c r="B394" s="36">
        <v>49.460138370765371</v>
      </c>
    </row>
    <row r="395" spans="1:2" x14ac:dyDescent="0.2">
      <c r="A395">
        <v>372</v>
      </c>
      <c r="B395" s="36">
        <v>35.30960161754075</v>
      </c>
    </row>
    <row r="396" spans="1:2" x14ac:dyDescent="0.2">
      <c r="A396">
        <v>373</v>
      </c>
      <c r="B396" s="36">
        <v>42.071666889839364</v>
      </c>
    </row>
    <row r="397" spans="1:2" x14ac:dyDescent="0.2">
      <c r="A397">
        <v>374</v>
      </c>
      <c r="B397" s="36">
        <v>36.024528634962344</v>
      </c>
    </row>
    <row r="398" spans="1:2" x14ac:dyDescent="0.2">
      <c r="A398">
        <v>375</v>
      </c>
      <c r="B398" s="36">
        <v>46.728752944222627</v>
      </c>
    </row>
    <row r="399" spans="1:2" x14ac:dyDescent="0.2">
      <c r="A399">
        <v>376</v>
      </c>
      <c r="B399" s="36">
        <v>43.298804293654761</v>
      </c>
    </row>
    <row r="400" spans="1:2" x14ac:dyDescent="0.2">
      <c r="A400">
        <v>377</v>
      </c>
      <c r="B400" s="36">
        <v>43.356525691723824</v>
      </c>
    </row>
    <row r="401" spans="1:2" x14ac:dyDescent="0.2">
      <c r="A401">
        <v>378</v>
      </c>
      <c r="B401" s="36">
        <v>41.459721316239538</v>
      </c>
    </row>
    <row r="402" spans="1:2" x14ac:dyDescent="0.2">
      <c r="A402">
        <v>379</v>
      </c>
      <c r="B402" s="36">
        <v>50.285006564679954</v>
      </c>
    </row>
    <row r="403" spans="1:2" x14ac:dyDescent="0.2">
      <c r="A403">
        <v>380</v>
      </c>
      <c r="B403" s="36">
        <v>33.656913947909473</v>
      </c>
    </row>
    <row r="404" spans="1:2" x14ac:dyDescent="0.2">
      <c r="A404">
        <v>381</v>
      </c>
      <c r="B404" s="36">
        <v>38.638579191358602</v>
      </c>
    </row>
    <row r="405" spans="1:2" x14ac:dyDescent="0.2">
      <c r="A405">
        <v>382</v>
      </c>
      <c r="B405" s="36">
        <v>46.274946283632261</v>
      </c>
    </row>
    <row r="406" spans="1:2" x14ac:dyDescent="0.2">
      <c r="A406">
        <v>383</v>
      </c>
      <c r="B406" s="36">
        <v>39.598719868863078</v>
      </c>
    </row>
    <row r="407" spans="1:2" x14ac:dyDescent="0.2">
      <c r="A407">
        <v>384</v>
      </c>
      <c r="B407" s="36">
        <v>49.47067425573843</v>
      </c>
    </row>
    <row r="408" spans="1:2" x14ac:dyDescent="0.2">
      <c r="A408">
        <v>385</v>
      </c>
      <c r="B408" s="36">
        <v>52.109410240639782</v>
      </c>
    </row>
    <row r="409" spans="1:2" x14ac:dyDescent="0.2">
      <c r="A409">
        <v>386</v>
      </c>
      <c r="B409" s="36">
        <v>44.061193655889333</v>
      </c>
    </row>
    <row r="410" spans="1:2" x14ac:dyDescent="0.2">
      <c r="A410">
        <v>387</v>
      </c>
      <c r="B410" s="36">
        <v>46.442331393653348</v>
      </c>
    </row>
    <row r="411" spans="1:2" x14ac:dyDescent="0.2">
      <c r="A411">
        <v>388</v>
      </c>
      <c r="B411" s="36">
        <v>49.732147298714246</v>
      </c>
    </row>
    <row r="412" spans="1:2" x14ac:dyDescent="0.2">
      <c r="A412">
        <v>389</v>
      </c>
      <c r="B412" s="36">
        <v>48.63910132710982</v>
      </c>
    </row>
    <row r="413" spans="1:2" x14ac:dyDescent="0.2">
      <c r="A413">
        <v>390</v>
      </c>
      <c r="B413" s="36">
        <v>40.640757682691287</v>
      </c>
    </row>
    <row r="414" spans="1:2" x14ac:dyDescent="0.2">
      <c r="A414">
        <v>391</v>
      </c>
      <c r="B414" s="36">
        <v>41.89809196309195</v>
      </c>
    </row>
    <row r="415" spans="1:2" x14ac:dyDescent="0.2">
      <c r="A415">
        <v>392</v>
      </c>
      <c r="B415" s="36">
        <v>33.137707438915349</v>
      </c>
    </row>
    <row r="416" spans="1:2" x14ac:dyDescent="0.2">
      <c r="A416">
        <v>393</v>
      </c>
      <c r="B416" s="36">
        <v>37.065298135166039</v>
      </c>
    </row>
    <row r="417" spans="1:2" x14ac:dyDescent="0.2">
      <c r="A417">
        <v>394</v>
      </c>
      <c r="B417" s="36">
        <v>42.037671382820342</v>
      </c>
    </row>
    <row r="418" spans="1:2" x14ac:dyDescent="0.2">
      <c r="A418">
        <v>395</v>
      </c>
      <c r="B418" s="36">
        <v>39.404479926116458</v>
      </c>
    </row>
    <row r="419" spans="1:2" x14ac:dyDescent="0.2">
      <c r="A419">
        <v>396</v>
      </c>
      <c r="B419" s="36">
        <v>41.664072249462755</v>
      </c>
    </row>
    <row r="420" spans="1:2" x14ac:dyDescent="0.2">
      <c r="A420">
        <v>397</v>
      </c>
      <c r="B420" s="36">
        <v>37.447545837713896</v>
      </c>
    </row>
    <row r="421" spans="1:2" x14ac:dyDescent="0.2">
      <c r="A421">
        <v>398</v>
      </c>
      <c r="B421" s="36">
        <v>32.399191999945451</v>
      </c>
    </row>
    <row r="422" spans="1:2" x14ac:dyDescent="0.2">
      <c r="A422">
        <v>399</v>
      </c>
      <c r="B422" s="36">
        <v>37.077325766720534</v>
      </c>
    </row>
    <row r="423" spans="1:2" x14ac:dyDescent="0.2">
      <c r="A423">
        <v>400</v>
      </c>
      <c r="B423" s="36">
        <v>41.093898957726473</v>
      </c>
    </row>
    <row r="424" spans="1:2" x14ac:dyDescent="0.2">
      <c r="A424">
        <v>401</v>
      </c>
      <c r="B424" s="36">
        <v>49.761871847061194</v>
      </c>
    </row>
    <row r="425" spans="1:2" x14ac:dyDescent="0.2">
      <c r="A425">
        <v>402</v>
      </c>
      <c r="B425" s="36">
        <v>57.771919422840952</v>
      </c>
    </row>
    <row r="426" spans="1:2" x14ac:dyDescent="0.2">
      <c r="A426">
        <v>403</v>
      </c>
      <c r="B426" s="36">
        <v>36.77294351524786</v>
      </c>
    </row>
    <row r="427" spans="1:2" x14ac:dyDescent="0.2">
      <c r="A427">
        <v>404</v>
      </c>
      <c r="B427" s="36">
        <v>55.039873239329886</v>
      </c>
    </row>
    <row r="428" spans="1:2" x14ac:dyDescent="0.2">
      <c r="A428">
        <v>405</v>
      </c>
      <c r="B428" s="36">
        <v>37.330616711649071</v>
      </c>
    </row>
    <row r="429" spans="1:2" x14ac:dyDescent="0.2">
      <c r="A429">
        <v>406</v>
      </c>
      <c r="B429" s="36">
        <v>61.296482839543003</v>
      </c>
    </row>
    <row r="430" spans="1:2" x14ac:dyDescent="0.2">
      <c r="A430">
        <v>407</v>
      </c>
      <c r="B430" s="36">
        <v>47.451729396053317</v>
      </c>
    </row>
    <row r="431" spans="1:2" x14ac:dyDescent="0.2">
      <c r="A431">
        <v>408</v>
      </c>
      <c r="B431" s="36">
        <v>36.816473061011187</v>
      </c>
    </row>
    <row r="432" spans="1:2" x14ac:dyDescent="0.2">
      <c r="A432">
        <v>409</v>
      </c>
      <c r="B432" s="36">
        <v>43.877891390921114</v>
      </c>
    </row>
    <row r="433" spans="1:2" x14ac:dyDescent="0.2">
      <c r="A433">
        <v>410</v>
      </c>
      <c r="B433" s="36">
        <v>38.871260467151885</v>
      </c>
    </row>
    <row r="434" spans="1:2" x14ac:dyDescent="0.2">
      <c r="A434">
        <v>411</v>
      </c>
      <c r="B434" s="36">
        <v>41.933117084836553</v>
      </c>
    </row>
    <row r="435" spans="1:2" x14ac:dyDescent="0.2">
      <c r="A435">
        <v>412</v>
      </c>
      <c r="B435" s="36">
        <v>37.098731099537666</v>
      </c>
    </row>
    <row r="436" spans="1:2" x14ac:dyDescent="0.2">
      <c r="A436">
        <v>413</v>
      </c>
      <c r="B436" s="36">
        <v>45.57525478403231</v>
      </c>
    </row>
    <row r="437" spans="1:2" x14ac:dyDescent="0.2">
      <c r="A437">
        <v>414</v>
      </c>
      <c r="B437" s="36">
        <v>46.207645242293367</v>
      </c>
    </row>
    <row r="438" spans="1:2" x14ac:dyDescent="0.2">
      <c r="A438">
        <v>415</v>
      </c>
      <c r="B438" s="36">
        <v>40.102679048966856</v>
      </c>
    </row>
    <row r="439" spans="1:2" x14ac:dyDescent="0.2">
      <c r="A439">
        <v>416</v>
      </c>
      <c r="B439" s="36">
        <v>40.281424497732239</v>
      </c>
    </row>
    <row r="440" spans="1:2" x14ac:dyDescent="0.2">
      <c r="A440">
        <v>417</v>
      </c>
      <c r="B440" s="36">
        <v>38.04284650711535</v>
      </c>
    </row>
    <row r="441" spans="1:2" x14ac:dyDescent="0.2">
      <c r="A441">
        <v>418</v>
      </c>
      <c r="B441" s="36">
        <v>44.843159371692302</v>
      </c>
    </row>
    <row r="442" spans="1:2" x14ac:dyDescent="0.2">
      <c r="A442">
        <v>419</v>
      </c>
      <c r="B442" s="36">
        <v>44.81129773612728</v>
      </c>
    </row>
    <row r="443" spans="1:2" x14ac:dyDescent="0.2">
      <c r="A443">
        <v>420</v>
      </c>
      <c r="B443" s="36">
        <v>54.537802656870085</v>
      </c>
    </row>
    <row r="444" spans="1:2" x14ac:dyDescent="0.2">
      <c r="A444">
        <v>421</v>
      </c>
      <c r="B444" s="36">
        <v>40.59568890245383</v>
      </c>
    </row>
    <row r="445" spans="1:2" x14ac:dyDescent="0.2">
      <c r="A445">
        <v>422</v>
      </c>
      <c r="B445" s="36">
        <v>43.928153970163791</v>
      </c>
    </row>
    <row r="446" spans="1:2" x14ac:dyDescent="0.2">
      <c r="A446">
        <v>423</v>
      </c>
      <c r="B446" s="36">
        <v>49.983203203429724</v>
      </c>
    </row>
    <row r="447" spans="1:2" x14ac:dyDescent="0.2">
      <c r="A447">
        <v>424</v>
      </c>
      <c r="B447" s="36">
        <v>38.896453976645347</v>
      </c>
    </row>
    <row r="448" spans="1:2" x14ac:dyDescent="0.2">
      <c r="A448">
        <v>425</v>
      </c>
      <c r="B448" s="36">
        <v>46.240552698235106</v>
      </c>
    </row>
    <row r="449" spans="1:2" x14ac:dyDescent="0.2">
      <c r="A449">
        <v>426</v>
      </c>
      <c r="B449" s="36">
        <v>33.186945175935428</v>
      </c>
    </row>
    <row r="450" spans="1:2" x14ac:dyDescent="0.2">
      <c r="A450">
        <v>427</v>
      </c>
      <c r="B450" s="36">
        <v>64.639956626001492</v>
      </c>
    </row>
    <row r="451" spans="1:2" x14ac:dyDescent="0.2">
      <c r="A451">
        <v>428</v>
      </c>
      <c r="B451" s="36">
        <v>39.189225382737689</v>
      </c>
    </row>
    <row r="452" spans="1:2" x14ac:dyDescent="0.2">
      <c r="A452">
        <v>429</v>
      </c>
      <c r="B452" s="36">
        <v>38.605100790543801</v>
      </c>
    </row>
    <row r="453" spans="1:2" x14ac:dyDescent="0.2">
      <c r="A453">
        <v>430</v>
      </c>
      <c r="B453" s="36">
        <v>39.962959031472785</v>
      </c>
    </row>
    <row r="454" spans="1:2" x14ac:dyDescent="0.2">
      <c r="A454">
        <v>431</v>
      </c>
      <c r="B454" s="36">
        <v>37.089096226064797</v>
      </c>
    </row>
    <row r="455" spans="1:2" x14ac:dyDescent="0.2">
      <c r="A455">
        <v>432</v>
      </c>
      <c r="B455" s="36">
        <v>41.913228556148333</v>
      </c>
    </row>
    <row r="456" spans="1:2" x14ac:dyDescent="0.2">
      <c r="A456">
        <v>433</v>
      </c>
      <c r="B456" s="36">
        <v>39.639306159972378</v>
      </c>
    </row>
    <row r="457" spans="1:2" x14ac:dyDescent="0.2">
      <c r="A457">
        <v>434</v>
      </c>
      <c r="B457" s="36">
        <v>38.536858406507413</v>
      </c>
    </row>
    <row r="458" spans="1:2" x14ac:dyDescent="0.2">
      <c r="A458">
        <v>435</v>
      </c>
      <c r="B458" s="36">
        <v>43.208224289014936</v>
      </c>
    </row>
    <row r="459" spans="1:2" x14ac:dyDescent="0.2">
      <c r="A459">
        <v>436</v>
      </c>
      <c r="B459" s="36">
        <v>45.757235071394831</v>
      </c>
    </row>
    <row r="460" spans="1:2" x14ac:dyDescent="0.2">
      <c r="A460">
        <v>437</v>
      </c>
      <c r="B460" s="36">
        <v>44.564474021190648</v>
      </c>
    </row>
    <row r="461" spans="1:2" x14ac:dyDescent="0.2">
      <c r="A461">
        <v>438</v>
      </c>
      <c r="B461" s="36">
        <v>36.452244641446867</v>
      </c>
    </row>
    <row r="462" spans="1:2" x14ac:dyDescent="0.2">
      <c r="A462">
        <v>439</v>
      </c>
      <c r="B462" s="36">
        <v>45.986901633291026</v>
      </c>
    </row>
    <row r="463" spans="1:2" x14ac:dyDescent="0.2">
      <c r="A463">
        <v>440</v>
      </c>
      <c r="B463" s="36">
        <v>50.573397784774599</v>
      </c>
    </row>
    <row r="464" spans="1:2" x14ac:dyDescent="0.2">
      <c r="A464">
        <v>441</v>
      </c>
      <c r="B464" s="36">
        <v>39.92037463680402</v>
      </c>
    </row>
    <row r="465" spans="1:2" x14ac:dyDescent="0.2">
      <c r="A465">
        <v>442</v>
      </c>
      <c r="B465" s="36">
        <v>40.39760867685186</v>
      </c>
    </row>
    <row r="466" spans="1:2" x14ac:dyDescent="0.2">
      <c r="A466">
        <v>443</v>
      </c>
      <c r="B466" s="36">
        <v>40.960076699791237</v>
      </c>
    </row>
    <row r="467" spans="1:2" x14ac:dyDescent="0.2">
      <c r="A467">
        <v>444</v>
      </c>
      <c r="B467" s="36">
        <v>43.932705597443046</v>
      </c>
    </row>
    <row r="468" spans="1:2" x14ac:dyDescent="0.2">
      <c r="A468">
        <v>445</v>
      </c>
      <c r="B468" s="36">
        <v>37.257228980236675</v>
      </c>
    </row>
    <row r="469" spans="1:2" x14ac:dyDescent="0.2">
      <c r="A469">
        <v>446</v>
      </c>
      <c r="B469" s="36">
        <v>48.143023471959836</v>
      </c>
    </row>
    <row r="470" spans="1:2" x14ac:dyDescent="0.2">
      <c r="A470">
        <v>447</v>
      </c>
      <c r="B470" s="36">
        <v>41.506460480394743</v>
      </c>
    </row>
    <row r="471" spans="1:2" x14ac:dyDescent="0.2">
      <c r="A471">
        <v>448</v>
      </c>
      <c r="B471" s="36">
        <v>49.967624675202174</v>
      </c>
    </row>
    <row r="472" spans="1:2" x14ac:dyDescent="0.2">
      <c r="A472">
        <v>449</v>
      </c>
      <c r="B472" s="36">
        <v>33.075554410600638</v>
      </c>
    </row>
    <row r="473" spans="1:2" x14ac:dyDescent="0.2">
      <c r="A473">
        <v>450</v>
      </c>
      <c r="B473" s="36">
        <v>41.355929322367516</v>
      </c>
    </row>
    <row r="474" spans="1:2" x14ac:dyDescent="0.2">
      <c r="A474">
        <v>451</v>
      </c>
      <c r="B474" s="36">
        <v>36.698255545052135</v>
      </c>
    </row>
    <row r="475" spans="1:2" x14ac:dyDescent="0.2">
      <c r="A475">
        <v>452</v>
      </c>
      <c r="B475" s="36">
        <v>43.517309495032237</v>
      </c>
    </row>
    <row r="476" spans="1:2" x14ac:dyDescent="0.2">
      <c r="A476">
        <v>453</v>
      </c>
      <c r="B476" s="36">
        <v>38.1003869993379</v>
      </c>
    </row>
    <row r="477" spans="1:2" x14ac:dyDescent="0.2">
      <c r="A477">
        <v>454</v>
      </c>
      <c r="B477" s="36">
        <v>37.381121296697167</v>
      </c>
    </row>
    <row r="478" spans="1:2" x14ac:dyDescent="0.2">
      <c r="A478">
        <v>455</v>
      </c>
      <c r="B478" s="36">
        <v>44.760849850259333</v>
      </c>
    </row>
    <row r="479" spans="1:2" x14ac:dyDescent="0.2">
      <c r="A479">
        <v>456</v>
      </c>
      <c r="B479" s="36">
        <v>42.791206121327683</v>
      </c>
    </row>
    <row r="480" spans="1:2" x14ac:dyDescent="0.2">
      <c r="A480">
        <v>457</v>
      </c>
      <c r="B480" s="36">
        <v>42.851977258208308</v>
      </c>
    </row>
    <row r="481" spans="1:2" x14ac:dyDescent="0.2">
      <c r="A481">
        <v>458</v>
      </c>
      <c r="B481" s="36">
        <v>41.828885496683085</v>
      </c>
    </row>
    <row r="482" spans="1:2" x14ac:dyDescent="0.2">
      <c r="A482">
        <v>459</v>
      </c>
      <c r="B482" s="36">
        <v>48.279035852797321</v>
      </c>
    </row>
    <row r="483" spans="1:2" x14ac:dyDescent="0.2">
      <c r="A483">
        <v>460</v>
      </c>
      <c r="B483" s="36">
        <v>39.988713427404797</v>
      </c>
    </row>
    <row r="484" spans="1:2" x14ac:dyDescent="0.2">
      <c r="A484">
        <v>461</v>
      </c>
      <c r="B484" s="36">
        <v>37.520328439091926</v>
      </c>
    </row>
    <row r="485" spans="1:2" x14ac:dyDescent="0.2">
      <c r="A485">
        <v>462</v>
      </c>
      <c r="B485" s="36">
        <v>45.088669954343423</v>
      </c>
    </row>
    <row r="486" spans="1:2" x14ac:dyDescent="0.2">
      <c r="A486">
        <v>463</v>
      </c>
      <c r="B486" s="36">
        <v>47.30788009194589</v>
      </c>
    </row>
    <row r="487" spans="1:2" x14ac:dyDescent="0.2">
      <c r="A487">
        <v>464</v>
      </c>
      <c r="B487" s="36">
        <v>41.897613362946529</v>
      </c>
    </row>
    <row r="488" spans="1:2" x14ac:dyDescent="0.2">
      <c r="A488">
        <v>465</v>
      </c>
      <c r="B488" s="36">
        <v>39.126648174083371</v>
      </c>
    </row>
    <row r="489" spans="1:2" x14ac:dyDescent="0.2">
      <c r="A489">
        <v>466</v>
      </c>
      <c r="B489" s="36">
        <v>41.80679151792166</v>
      </c>
    </row>
    <row r="490" spans="1:2" x14ac:dyDescent="0.2">
      <c r="A490">
        <v>467</v>
      </c>
      <c r="B490" s="36">
        <v>47.045113972167485</v>
      </c>
    </row>
    <row r="491" spans="1:2" x14ac:dyDescent="0.2">
      <c r="A491">
        <v>468</v>
      </c>
      <c r="B491" s="36">
        <v>38.922125642138425</v>
      </c>
    </row>
    <row r="492" spans="1:2" x14ac:dyDescent="0.2">
      <c r="A492">
        <v>469</v>
      </c>
      <c r="B492" s="36">
        <v>38.90002273716982</v>
      </c>
    </row>
    <row r="493" spans="1:2" x14ac:dyDescent="0.2">
      <c r="A493">
        <v>470</v>
      </c>
      <c r="B493" s="36">
        <v>36.706774141793645</v>
      </c>
    </row>
    <row r="494" spans="1:2" x14ac:dyDescent="0.2">
      <c r="A494">
        <v>471</v>
      </c>
      <c r="B494" s="36">
        <v>51.464006204710003</v>
      </c>
    </row>
    <row r="495" spans="1:2" x14ac:dyDescent="0.2">
      <c r="A495">
        <v>472</v>
      </c>
      <c r="B495" s="36">
        <v>36.299541933314401</v>
      </c>
    </row>
    <row r="496" spans="1:2" x14ac:dyDescent="0.2">
      <c r="A496">
        <v>473</v>
      </c>
      <c r="B496" s="36">
        <v>39.550792729148824</v>
      </c>
    </row>
    <row r="497" spans="1:2" x14ac:dyDescent="0.2">
      <c r="A497">
        <v>474</v>
      </c>
      <c r="B497" s="36">
        <v>36.653689888533336</v>
      </c>
    </row>
    <row r="498" spans="1:2" x14ac:dyDescent="0.2">
      <c r="A498">
        <v>475</v>
      </c>
      <c r="B498" s="36">
        <v>35.798846312283757</v>
      </c>
    </row>
    <row r="499" spans="1:2" x14ac:dyDescent="0.2">
      <c r="A499">
        <v>476</v>
      </c>
      <c r="B499" s="36">
        <v>43.504240337956141</v>
      </c>
    </row>
    <row r="500" spans="1:2" x14ac:dyDescent="0.2">
      <c r="A500">
        <v>477</v>
      </c>
      <c r="B500" s="36">
        <v>43.428031189843999</v>
      </c>
    </row>
    <row r="501" spans="1:2" x14ac:dyDescent="0.2">
      <c r="A501">
        <v>478</v>
      </c>
      <c r="B501" s="36">
        <v>35.905779288200037</v>
      </c>
    </row>
    <row r="502" spans="1:2" x14ac:dyDescent="0.2">
      <c r="A502">
        <v>479</v>
      </c>
      <c r="B502" s="36">
        <v>33.735348709739476</v>
      </c>
    </row>
    <row r="503" spans="1:2" x14ac:dyDescent="0.2">
      <c r="A503">
        <v>480</v>
      </c>
      <c r="B503" s="36">
        <v>42.193474193238352</v>
      </c>
    </row>
    <row r="504" spans="1:2" x14ac:dyDescent="0.2">
      <c r="A504">
        <v>481</v>
      </c>
      <c r="B504" s="36">
        <v>41.204137968313411</v>
      </c>
    </row>
    <row r="505" spans="1:2" x14ac:dyDescent="0.2">
      <c r="A505">
        <v>482</v>
      </c>
      <c r="B505" s="36">
        <v>41.990026957177598</v>
      </c>
    </row>
    <row r="506" spans="1:2" x14ac:dyDescent="0.2">
      <c r="A506">
        <v>483</v>
      </c>
      <c r="B506" s="36">
        <v>44.770643221382116</v>
      </c>
    </row>
    <row r="507" spans="1:2" x14ac:dyDescent="0.2">
      <c r="A507">
        <v>484</v>
      </c>
      <c r="B507" s="36">
        <v>41.443764503808055</v>
      </c>
    </row>
    <row r="508" spans="1:2" x14ac:dyDescent="0.2">
      <c r="A508">
        <v>485</v>
      </c>
      <c r="B508" s="36">
        <v>42.76671860219755</v>
      </c>
    </row>
    <row r="509" spans="1:2" x14ac:dyDescent="0.2">
      <c r="A509">
        <v>486</v>
      </c>
      <c r="B509" s="36">
        <v>60.47387497339696</v>
      </c>
    </row>
    <row r="510" spans="1:2" x14ac:dyDescent="0.2">
      <c r="A510">
        <v>487</v>
      </c>
      <c r="B510" s="36">
        <v>45.627266155091718</v>
      </c>
    </row>
    <row r="511" spans="1:2" x14ac:dyDescent="0.2">
      <c r="A511">
        <v>488</v>
      </c>
      <c r="B511" s="36">
        <v>38.426976801111557</v>
      </c>
    </row>
    <row r="512" spans="1:2" x14ac:dyDescent="0.2">
      <c r="A512">
        <v>489</v>
      </c>
      <c r="B512" s="36">
        <v>53.761666711025633</v>
      </c>
    </row>
    <row r="513" spans="1:2" x14ac:dyDescent="0.2">
      <c r="A513">
        <v>490</v>
      </c>
      <c r="B513" s="36">
        <v>34.02996922138459</v>
      </c>
    </row>
    <row r="514" spans="1:2" x14ac:dyDescent="0.2">
      <c r="A514">
        <v>491</v>
      </c>
      <c r="B514" s="36">
        <v>50.684432695281906</v>
      </c>
    </row>
    <row r="515" spans="1:2" x14ac:dyDescent="0.2">
      <c r="A515">
        <v>492</v>
      </c>
      <c r="B515" s="36">
        <v>31.636575900289653</v>
      </c>
    </row>
    <row r="516" spans="1:2" x14ac:dyDescent="0.2">
      <c r="A516">
        <v>493</v>
      </c>
      <c r="B516" s="36">
        <v>34.46566847936213</v>
      </c>
    </row>
    <row r="517" spans="1:2" x14ac:dyDescent="0.2">
      <c r="A517">
        <v>494</v>
      </c>
      <c r="B517" s="36">
        <v>39.593302694866793</v>
      </c>
    </row>
    <row r="518" spans="1:2" x14ac:dyDescent="0.2">
      <c r="A518">
        <v>495</v>
      </c>
      <c r="B518" s="36">
        <v>37.909449496211394</v>
      </c>
    </row>
    <row r="519" spans="1:2" x14ac:dyDescent="0.2">
      <c r="A519">
        <v>496</v>
      </c>
      <c r="B519" s="36">
        <v>55.564736418114997</v>
      </c>
    </row>
    <row r="520" spans="1:2" x14ac:dyDescent="0.2">
      <c r="A520">
        <v>497</v>
      </c>
      <c r="B520" s="36">
        <v>50.12693300454729</v>
      </c>
    </row>
    <row r="521" spans="1:2" x14ac:dyDescent="0.2">
      <c r="A521">
        <v>498</v>
      </c>
      <c r="B521" s="36">
        <v>44.012158239277312</v>
      </c>
    </row>
    <row r="522" spans="1:2" x14ac:dyDescent="0.2">
      <c r="A522">
        <v>499</v>
      </c>
      <c r="B522" s="36">
        <v>48.026040534953779</v>
      </c>
    </row>
    <row r="523" spans="1:2" x14ac:dyDescent="0.2">
      <c r="A523">
        <v>500</v>
      </c>
      <c r="B523" s="36">
        <v>35.007364377938146</v>
      </c>
    </row>
    <row r="524" spans="1:2" x14ac:dyDescent="0.2">
      <c r="A524">
        <v>501</v>
      </c>
      <c r="B524" s="36">
        <v>44.436782707546847</v>
      </c>
    </row>
    <row r="525" spans="1:2" x14ac:dyDescent="0.2">
      <c r="A525">
        <v>502</v>
      </c>
      <c r="B525" s="36">
        <v>42.035456038314933</v>
      </c>
    </row>
    <row r="526" spans="1:2" x14ac:dyDescent="0.2">
      <c r="A526">
        <v>503</v>
      </c>
      <c r="B526" s="36">
        <v>37.129472723687051</v>
      </c>
    </row>
    <row r="527" spans="1:2" x14ac:dyDescent="0.2">
      <c r="A527">
        <v>504</v>
      </c>
      <c r="B527" s="36">
        <v>52.461338934695675</v>
      </c>
    </row>
    <row r="528" spans="1:2" x14ac:dyDescent="0.2">
      <c r="A528">
        <v>505</v>
      </c>
      <c r="B528" s="36">
        <v>41.788919470011514</v>
      </c>
    </row>
    <row r="529" spans="1:2" x14ac:dyDescent="0.2">
      <c r="A529">
        <v>506</v>
      </c>
      <c r="B529" s="36">
        <v>36.070610032052969</v>
      </c>
    </row>
    <row r="530" spans="1:2" x14ac:dyDescent="0.2">
      <c r="A530">
        <v>507</v>
      </c>
      <c r="B530" s="36">
        <v>47.150515219678667</v>
      </c>
    </row>
    <row r="531" spans="1:2" x14ac:dyDescent="0.2">
      <c r="A531">
        <v>508</v>
      </c>
      <c r="B531" s="36">
        <v>43.404984633544721</v>
      </c>
    </row>
    <row r="532" spans="1:2" x14ac:dyDescent="0.2">
      <c r="A532">
        <v>509</v>
      </c>
      <c r="B532" s="36">
        <v>43.050326071275798</v>
      </c>
    </row>
    <row r="533" spans="1:2" x14ac:dyDescent="0.2">
      <c r="A533">
        <v>510</v>
      </c>
      <c r="B533" s="36">
        <v>50.118256894308658</v>
      </c>
    </row>
    <row r="534" spans="1:2" x14ac:dyDescent="0.2">
      <c r="A534">
        <v>511</v>
      </c>
      <c r="B534" s="36">
        <v>36.106498726321874</v>
      </c>
    </row>
    <row r="535" spans="1:2" x14ac:dyDescent="0.2">
      <c r="A535">
        <v>512</v>
      </c>
      <c r="B535" s="36">
        <v>55.905064640932729</v>
      </c>
    </row>
    <row r="536" spans="1:2" x14ac:dyDescent="0.2">
      <c r="A536">
        <v>513</v>
      </c>
      <c r="B536" s="36">
        <v>37.10412308620274</v>
      </c>
    </row>
    <row r="537" spans="1:2" x14ac:dyDescent="0.2">
      <c r="A537">
        <v>514</v>
      </c>
      <c r="B537" s="36">
        <v>36.123699138202014</v>
      </c>
    </row>
    <row r="538" spans="1:2" x14ac:dyDescent="0.2">
      <c r="A538">
        <v>515</v>
      </c>
      <c r="B538" s="36">
        <v>45.834438152815729</v>
      </c>
    </row>
    <row r="539" spans="1:2" x14ac:dyDescent="0.2">
      <c r="A539">
        <v>516</v>
      </c>
      <c r="B539" s="36">
        <v>33.846892332112162</v>
      </c>
    </row>
    <row r="540" spans="1:2" x14ac:dyDescent="0.2">
      <c r="A540">
        <v>517</v>
      </c>
      <c r="B540" s="36">
        <v>46.378965620955533</v>
      </c>
    </row>
    <row r="541" spans="1:2" x14ac:dyDescent="0.2">
      <c r="A541">
        <v>518</v>
      </c>
      <c r="B541" s="36">
        <v>44.096478469515922</v>
      </c>
    </row>
    <row r="542" spans="1:2" x14ac:dyDescent="0.2">
      <c r="A542">
        <v>519</v>
      </c>
      <c r="B542" s="36">
        <v>42.333376305654639</v>
      </c>
    </row>
    <row r="543" spans="1:2" x14ac:dyDescent="0.2">
      <c r="A543">
        <v>520</v>
      </c>
      <c r="B543" s="36">
        <v>86.523870360872451</v>
      </c>
    </row>
    <row r="544" spans="1:2" x14ac:dyDescent="0.2">
      <c r="A544">
        <v>521</v>
      </c>
      <c r="B544" s="36">
        <v>44.346144721903322</v>
      </c>
    </row>
    <row r="545" spans="1:2" x14ac:dyDescent="0.2">
      <c r="A545">
        <v>522</v>
      </c>
      <c r="B545" s="36">
        <v>53.297996604438971</v>
      </c>
    </row>
    <row r="546" spans="1:2" x14ac:dyDescent="0.2">
      <c r="A546">
        <v>523</v>
      </c>
      <c r="B546" s="36">
        <v>47.260454369024941</v>
      </c>
    </row>
    <row r="547" spans="1:2" x14ac:dyDescent="0.2">
      <c r="A547">
        <v>524</v>
      </c>
      <c r="B547" s="36">
        <v>43.107991857714289</v>
      </c>
    </row>
    <row r="548" spans="1:2" x14ac:dyDescent="0.2">
      <c r="A548">
        <v>525</v>
      </c>
      <c r="B548" s="36">
        <v>47.500527980429744</v>
      </c>
    </row>
    <row r="549" spans="1:2" x14ac:dyDescent="0.2">
      <c r="A549">
        <v>526</v>
      </c>
      <c r="B549" s="36">
        <v>46.171720596276039</v>
      </c>
    </row>
    <row r="550" spans="1:2" x14ac:dyDescent="0.2">
      <c r="A550">
        <v>527</v>
      </c>
      <c r="B550" s="36">
        <v>34.535046319460918</v>
      </c>
    </row>
    <row r="551" spans="1:2" x14ac:dyDescent="0.2">
      <c r="A551">
        <v>528</v>
      </c>
      <c r="B551" s="36">
        <v>52.072365208128637</v>
      </c>
    </row>
    <row r="552" spans="1:2" x14ac:dyDescent="0.2">
      <c r="A552">
        <v>529</v>
      </c>
      <c r="B552" s="36">
        <v>43.879085707081536</v>
      </c>
    </row>
    <row r="553" spans="1:2" x14ac:dyDescent="0.2">
      <c r="A553">
        <v>530</v>
      </c>
      <c r="B553" s="36">
        <v>45.357795722148637</v>
      </c>
    </row>
    <row r="554" spans="1:2" x14ac:dyDescent="0.2">
      <c r="A554">
        <v>531</v>
      </c>
      <c r="B554" s="36">
        <v>40.457606239821153</v>
      </c>
    </row>
    <row r="555" spans="1:2" x14ac:dyDescent="0.2">
      <c r="A555">
        <v>532</v>
      </c>
      <c r="B555" s="36">
        <v>34.513364153324197</v>
      </c>
    </row>
    <row r="556" spans="1:2" x14ac:dyDescent="0.2">
      <c r="A556">
        <v>533</v>
      </c>
      <c r="B556" s="36">
        <v>42.953401430291521</v>
      </c>
    </row>
    <row r="557" spans="1:2" x14ac:dyDescent="0.2">
      <c r="A557">
        <v>534</v>
      </c>
      <c r="B557" s="36">
        <v>41.908842267094258</v>
      </c>
    </row>
    <row r="558" spans="1:2" x14ac:dyDescent="0.2">
      <c r="A558">
        <v>535</v>
      </c>
      <c r="B558" s="36">
        <v>44.22173124414973</v>
      </c>
    </row>
    <row r="559" spans="1:2" x14ac:dyDescent="0.2">
      <c r="A559">
        <v>536</v>
      </c>
      <c r="B559" s="36">
        <v>50.690039485372083</v>
      </c>
    </row>
    <row r="560" spans="1:2" x14ac:dyDescent="0.2">
      <c r="A560">
        <v>537</v>
      </c>
      <c r="B560" s="36">
        <v>47.871230822691587</v>
      </c>
    </row>
    <row r="561" spans="1:2" x14ac:dyDescent="0.2">
      <c r="A561">
        <v>538</v>
      </c>
      <c r="B561" s="36">
        <v>38.838521963658508</v>
      </c>
    </row>
    <row r="562" spans="1:2" x14ac:dyDescent="0.2">
      <c r="A562">
        <v>539</v>
      </c>
      <c r="B562" s="36">
        <v>37.42529338493992</v>
      </c>
    </row>
    <row r="563" spans="1:2" x14ac:dyDescent="0.2">
      <c r="A563">
        <v>540</v>
      </c>
      <c r="B563" s="36">
        <v>44.542065471837958</v>
      </c>
    </row>
    <row r="564" spans="1:2" x14ac:dyDescent="0.2">
      <c r="A564">
        <v>541</v>
      </c>
      <c r="B564" s="36">
        <v>34.416598014719895</v>
      </c>
    </row>
    <row r="565" spans="1:2" x14ac:dyDescent="0.2">
      <c r="A565">
        <v>542</v>
      </c>
      <c r="B565" s="36">
        <v>44.349721163709198</v>
      </c>
    </row>
    <row r="566" spans="1:2" x14ac:dyDescent="0.2">
      <c r="A566">
        <v>543</v>
      </c>
      <c r="B566" s="36">
        <v>42.739330688150908</v>
      </c>
    </row>
    <row r="567" spans="1:2" x14ac:dyDescent="0.2">
      <c r="A567">
        <v>544</v>
      </c>
      <c r="B567" s="36">
        <v>48.894614806455252</v>
      </c>
    </row>
    <row r="568" spans="1:2" x14ac:dyDescent="0.2">
      <c r="A568">
        <v>545</v>
      </c>
      <c r="B568" s="36">
        <v>43.508286579488754</v>
      </c>
    </row>
    <row r="569" spans="1:2" x14ac:dyDescent="0.2">
      <c r="A569">
        <v>546</v>
      </c>
      <c r="B569" s="36">
        <v>48.968027997154898</v>
      </c>
    </row>
    <row r="570" spans="1:2" x14ac:dyDescent="0.2">
      <c r="A570">
        <v>547</v>
      </c>
      <c r="B570" s="36">
        <v>40.607070960133747</v>
      </c>
    </row>
    <row r="571" spans="1:2" x14ac:dyDescent="0.2">
      <c r="A571">
        <v>548</v>
      </c>
      <c r="B571" s="36">
        <v>45.667289388395986</v>
      </c>
    </row>
    <row r="572" spans="1:2" x14ac:dyDescent="0.2">
      <c r="A572">
        <v>549</v>
      </c>
      <c r="B572" s="36">
        <v>43.255348411736101</v>
      </c>
    </row>
    <row r="573" spans="1:2" x14ac:dyDescent="0.2">
      <c r="A573">
        <v>550</v>
      </c>
      <c r="B573" s="36">
        <v>36.664210458744265</v>
      </c>
    </row>
    <row r="574" spans="1:2" x14ac:dyDescent="0.2">
      <c r="A574">
        <v>551</v>
      </c>
      <c r="B574" s="36">
        <v>43.748526148502705</v>
      </c>
    </row>
    <row r="575" spans="1:2" x14ac:dyDescent="0.2">
      <c r="A575">
        <v>552</v>
      </c>
      <c r="B575" s="36">
        <v>45.962400494374691</v>
      </c>
    </row>
    <row r="576" spans="1:2" x14ac:dyDescent="0.2">
      <c r="A576">
        <v>553</v>
      </c>
      <c r="B576" s="36">
        <v>38.508731071421344</v>
      </c>
    </row>
    <row r="577" spans="1:2" x14ac:dyDescent="0.2">
      <c r="A577">
        <v>554</v>
      </c>
      <c r="B577" s="36">
        <v>37.013399330335162</v>
      </c>
    </row>
    <row r="578" spans="1:2" x14ac:dyDescent="0.2">
      <c r="A578">
        <v>555</v>
      </c>
      <c r="B578" s="36">
        <v>38.969168772101099</v>
      </c>
    </row>
    <row r="579" spans="1:2" x14ac:dyDescent="0.2">
      <c r="A579">
        <v>556</v>
      </c>
      <c r="B579" s="36">
        <v>38.734593996378166</v>
      </c>
    </row>
    <row r="580" spans="1:2" x14ac:dyDescent="0.2">
      <c r="A580">
        <v>557</v>
      </c>
      <c r="B580" s="36">
        <v>42.291822617476669</v>
      </c>
    </row>
    <row r="581" spans="1:2" x14ac:dyDescent="0.2">
      <c r="A581">
        <v>558</v>
      </c>
      <c r="B581" s="36">
        <v>33.796502489858824</v>
      </c>
    </row>
    <row r="582" spans="1:2" x14ac:dyDescent="0.2">
      <c r="A582">
        <v>559</v>
      </c>
      <c r="B582" s="36">
        <v>46.33108835830523</v>
      </c>
    </row>
    <row r="583" spans="1:2" x14ac:dyDescent="0.2">
      <c r="A583">
        <v>560</v>
      </c>
      <c r="B583" s="36">
        <v>39.082288318873239</v>
      </c>
    </row>
    <row r="584" spans="1:2" x14ac:dyDescent="0.2">
      <c r="A584">
        <v>561</v>
      </c>
      <c r="B584" s="36">
        <v>41.426640655505992</v>
      </c>
    </row>
    <row r="585" spans="1:2" x14ac:dyDescent="0.2">
      <c r="A585">
        <v>562</v>
      </c>
      <c r="B585" s="36">
        <v>45.115994065368703</v>
      </c>
    </row>
    <row r="586" spans="1:2" x14ac:dyDescent="0.2">
      <c r="A586">
        <v>563</v>
      </c>
      <c r="B586" s="36">
        <v>33.506953714094202</v>
      </c>
    </row>
    <row r="587" spans="1:2" x14ac:dyDescent="0.2">
      <c r="A587">
        <v>564</v>
      </c>
      <c r="B587" s="36">
        <v>53.911269244066034</v>
      </c>
    </row>
    <row r="588" spans="1:2" x14ac:dyDescent="0.2">
      <c r="A588">
        <v>565</v>
      </c>
      <c r="B588" s="36">
        <v>39.847027921477221</v>
      </c>
    </row>
    <row r="589" spans="1:2" x14ac:dyDescent="0.2">
      <c r="A589">
        <v>566</v>
      </c>
      <c r="B589" s="36">
        <v>44.004944050515789</v>
      </c>
    </row>
    <row r="590" spans="1:2" x14ac:dyDescent="0.2">
      <c r="A590">
        <v>567</v>
      </c>
      <c r="B590" s="36">
        <v>40.53695705522253</v>
      </c>
    </row>
    <row r="591" spans="1:2" x14ac:dyDescent="0.2">
      <c r="A591">
        <v>568</v>
      </c>
      <c r="B591" s="36">
        <v>55.276345337388484</v>
      </c>
    </row>
    <row r="592" spans="1:2" x14ac:dyDescent="0.2">
      <c r="A592">
        <v>569</v>
      </c>
      <c r="B592" s="36">
        <v>37.907497899844373</v>
      </c>
    </row>
    <row r="593" spans="1:2" x14ac:dyDescent="0.2">
      <c r="A593">
        <v>570</v>
      </c>
      <c r="B593" s="36">
        <v>37.796864637791593</v>
      </c>
    </row>
    <row r="594" spans="1:2" x14ac:dyDescent="0.2">
      <c r="A594">
        <v>571</v>
      </c>
      <c r="B594" s="36">
        <v>36.479501975064281</v>
      </c>
    </row>
    <row r="595" spans="1:2" x14ac:dyDescent="0.2">
      <c r="A595">
        <v>572</v>
      </c>
      <c r="B595" s="36">
        <v>42.889028794450695</v>
      </c>
    </row>
    <row r="596" spans="1:2" x14ac:dyDescent="0.2">
      <c r="A596">
        <v>573</v>
      </c>
      <c r="B596" s="36">
        <v>36.724016358630209</v>
      </c>
    </row>
    <row r="597" spans="1:2" x14ac:dyDescent="0.2">
      <c r="A597">
        <v>574</v>
      </c>
      <c r="B597" s="36">
        <v>34.409935800862407</v>
      </c>
    </row>
    <row r="598" spans="1:2" x14ac:dyDescent="0.2">
      <c r="A598">
        <v>575</v>
      </c>
      <c r="B598" s="36">
        <v>40.377226756276016</v>
      </c>
    </row>
    <row r="599" spans="1:2" x14ac:dyDescent="0.2">
      <c r="A599">
        <v>576</v>
      </c>
      <c r="B599" s="36">
        <v>42.112834853370728</v>
      </c>
    </row>
    <row r="600" spans="1:2" x14ac:dyDescent="0.2">
      <c r="A600">
        <v>577</v>
      </c>
      <c r="B600" s="36">
        <v>34.862786571988657</v>
      </c>
    </row>
    <row r="601" spans="1:2" x14ac:dyDescent="0.2">
      <c r="A601">
        <v>578</v>
      </c>
      <c r="B601" s="36">
        <v>47.532812663970404</v>
      </c>
    </row>
    <row r="602" spans="1:2" x14ac:dyDescent="0.2">
      <c r="A602">
        <v>579</v>
      </c>
      <c r="B602" s="36">
        <v>35.52847545546355</v>
      </c>
    </row>
    <row r="603" spans="1:2" x14ac:dyDescent="0.2">
      <c r="A603">
        <v>580</v>
      </c>
      <c r="B603" s="36">
        <v>54.42923336454777</v>
      </c>
    </row>
    <row r="604" spans="1:2" x14ac:dyDescent="0.2">
      <c r="A604">
        <v>581</v>
      </c>
      <c r="B604" s="36">
        <v>35.334933343510222</v>
      </c>
    </row>
    <row r="605" spans="1:2" x14ac:dyDescent="0.2">
      <c r="A605">
        <v>582</v>
      </c>
      <c r="B605" s="36">
        <v>41.095956707418992</v>
      </c>
    </row>
    <row r="606" spans="1:2" x14ac:dyDescent="0.2">
      <c r="A606">
        <v>583</v>
      </c>
      <c r="B606" s="36">
        <v>40.74582802758686</v>
      </c>
    </row>
    <row r="607" spans="1:2" x14ac:dyDescent="0.2">
      <c r="A607">
        <v>584</v>
      </c>
      <c r="B607" s="36">
        <v>52.115859951283738</v>
      </c>
    </row>
    <row r="608" spans="1:2" x14ac:dyDescent="0.2">
      <c r="A608">
        <v>585</v>
      </c>
      <c r="B608" s="36">
        <v>51.015327679797885</v>
      </c>
    </row>
    <row r="609" spans="1:2" x14ac:dyDescent="0.2">
      <c r="A609">
        <v>586</v>
      </c>
      <c r="B609" s="36">
        <v>39.344473892369756</v>
      </c>
    </row>
    <row r="610" spans="1:2" x14ac:dyDescent="0.2">
      <c r="A610">
        <v>587</v>
      </c>
      <c r="B610" s="36">
        <v>42.504242706006515</v>
      </c>
    </row>
    <row r="611" spans="1:2" x14ac:dyDescent="0.2">
      <c r="A611">
        <v>588</v>
      </c>
      <c r="B611" s="36">
        <v>47.293927939563467</v>
      </c>
    </row>
    <row r="612" spans="1:2" x14ac:dyDescent="0.2">
      <c r="A612">
        <v>589</v>
      </c>
      <c r="B612" s="36">
        <v>45.392842013584549</v>
      </c>
    </row>
    <row r="613" spans="1:2" x14ac:dyDescent="0.2">
      <c r="A613">
        <v>590</v>
      </c>
      <c r="B613" s="36">
        <v>39.731844931473574</v>
      </c>
    </row>
    <row r="614" spans="1:2" x14ac:dyDescent="0.2">
      <c r="A614">
        <v>591</v>
      </c>
      <c r="B614" s="36">
        <v>40.562869843840183</v>
      </c>
    </row>
    <row r="615" spans="1:2" x14ac:dyDescent="0.2">
      <c r="A615">
        <v>592</v>
      </c>
      <c r="B615" s="36">
        <v>43.844943936139245</v>
      </c>
    </row>
    <row r="616" spans="1:2" x14ac:dyDescent="0.2">
      <c r="A616">
        <v>593</v>
      </c>
      <c r="B616" s="36">
        <v>39.544586242309755</v>
      </c>
    </row>
    <row r="617" spans="1:2" x14ac:dyDescent="0.2">
      <c r="A617">
        <v>594</v>
      </c>
      <c r="B617" s="36">
        <v>44.183074780017208</v>
      </c>
    </row>
    <row r="618" spans="1:2" x14ac:dyDescent="0.2">
      <c r="A618">
        <v>595</v>
      </c>
      <c r="B618" s="36">
        <v>41.038634944871937</v>
      </c>
    </row>
    <row r="619" spans="1:2" x14ac:dyDescent="0.2">
      <c r="A619">
        <v>596</v>
      </c>
      <c r="B619" s="36">
        <v>45.895367814217799</v>
      </c>
    </row>
    <row r="620" spans="1:2" x14ac:dyDescent="0.2">
      <c r="A620">
        <v>597</v>
      </c>
      <c r="B620" s="36">
        <v>44.728961702468624</v>
      </c>
    </row>
    <row r="621" spans="1:2" x14ac:dyDescent="0.2">
      <c r="A621">
        <v>598</v>
      </c>
      <c r="B621" s="36">
        <v>36.725996353440593</v>
      </c>
    </row>
    <row r="622" spans="1:2" x14ac:dyDescent="0.2">
      <c r="A622">
        <v>599</v>
      </c>
      <c r="B622" s="36">
        <v>55.066926257896142</v>
      </c>
    </row>
    <row r="623" spans="1:2" x14ac:dyDescent="0.2">
      <c r="A623">
        <v>600</v>
      </c>
      <c r="B623" s="36">
        <v>40.575274184142536</v>
      </c>
    </row>
    <row r="624" spans="1:2" x14ac:dyDescent="0.2">
      <c r="A624">
        <v>601</v>
      </c>
      <c r="B624" s="36">
        <v>34.79251783729503</v>
      </c>
    </row>
    <row r="625" spans="1:2" x14ac:dyDescent="0.2">
      <c r="A625">
        <v>602</v>
      </c>
      <c r="B625" s="36">
        <v>38.301964455614105</v>
      </c>
    </row>
    <row r="626" spans="1:2" x14ac:dyDescent="0.2">
      <c r="A626">
        <v>603</v>
      </c>
      <c r="B626" s="36">
        <v>47.10927044813242</v>
      </c>
    </row>
    <row r="627" spans="1:2" x14ac:dyDescent="0.2">
      <c r="A627">
        <v>604</v>
      </c>
      <c r="B627" s="36">
        <v>50.683780541617409</v>
      </c>
    </row>
    <row r="628" spans="1:2" x14ac:dyDescent="0.2">
      <c r="A628">
        <v>605</v>
      </c>
      <c r="B628" s="36">
        <v>50.249410982446911</v>
      </c>
    </row>
    <row r="629" spans="1:2" x14ac:dyDescent="0.2">
      <c r="A629">
        <v>606</v>
      </c>
      <c r="B629" s="36">
        <v>63.964606016121628</v>
      </c>
    </row>
    <row r="630" spans="1:2" x14ac:dyDescent="0.2">
      <c r="A630">
        <v>607</v>
      </c>
      <c r="B630" s="36">
        <v>34.397403413462328</v>
      </c>
    </row>
    <row r="631" spans="1:2" x14ac:dyDescent="0.2">
      <c r="A631">
        <v>608</v>
      </c>
      <c r="B631" s="36">
        <v>37.470949123413881</v>
      </c>
    </row>
    <row r="632" spans="1:2" x14ac:dyDescent="0.2">
      <c r="A632">
        <v>609</v>
      </c>
      <c r="B632" s="36">
        <v>34.502727358027165</v>
      </c>
    </row>
    <row r="633" spans="1:2" x14ac:dyDescent="0.2">
      <c r="A633">
        <v>610</v>
      </c>
      <c r="B633" s="36">
        <v>38.730984063195592</v>
      </c>
    </row>
    <row r="634" spans="1:2" x14ac:dyDescent="0.2">
      <c r="A634">
        <v>611</v>
      </c>
      <c r="B634" s="36">
        <v>38.937962849143247</v>
      </c>
    </row>
    <row r="635" spans="1:2" x14ac:dyDescent="0.2">
      <c r="A635">
        <v>612</v>
      </c>
      <c r="B635" s="36">
        <v>40.548815532835725</v>
      </c>
    </row>
    <row r="636" spans="1:2" x14ac:dyDescent="0.2">
      <c r="A636">
        <v>613</v>
      </c>
      <c r="B636" s="36">
        <v>50.096207349436568</v>
      </c>
    </row>
    <row r="637" spans="1:2" x14ac:dyDescent="0.2">
      <c r="A637">
        <v>614</v>
      </c>
      <c r="B637" s="36">
        <v>47.122952927793868</v>
      </c>
    </row>
    <row r="638" spans="1:2" x14ac:dyDescent="0.2">
      <c r="A638">
        <v>615</v>
      </c>
      <c r="B638" s="36">
        <v>49.748588061225952</v>
      </c>
    </row>
    <row r="639" spans="1:2" x14ac:dyDescent="0.2">
      <c r="A639">
        <v>616</v>
      </c>
      <c r="B639" s="36">
        <v>50.596490145844463</v>
      </c>
    </row>
    <row r="640" spans="1:2" x14ac:dyDescent="0.2">
      <c r="A640">
        <v>617</v>
      </c>
      <c r="B640" s="36">
        <v>37.144220629345298</v>
      </c>
    </row>
    <row r="641" spans="1:2" x14ac:dyDescent="0.2">
      <c r="A641">
        <v>618</v>
      </c>
      <c r="B641" s="36">
        <v>33.460412383831866</v>
      </c>
    </row>
    <row r="642" spans="1:2" x14ac:dyDescent="0.2">
      <c r="A642">
        <v>619</v>
      </c>
      <c r="B642" s="36">
        <v>39.269518691909482</v>
      </c>
    </row>
    <row r="643" spans="1:2" x14ac:dyDescent="0.2">
      <c r="A643">
        <v>620</v>
      </c>
      <c r="B643" s="36">
        <v>40.021900620064024</v>
      </c>
    </row>
    <row r="644" spans="1:2" x14ac:dyDescent="0.2">
      <c r="A644">
        <v>621</v>
      </c>
      <c r="B644" s="36">
        <v>37.204113962312</v>
      </c>
    </row>
    <row r="645" spans="1:2" x14ac:dyDescent="0.2">
      <c r="A645">
        <v>622</v>
      </c>
      <c r="B645" s="36">
        <v>33.593415187151571</v>
      </c>
    </row>
    <row r="646" spans="1:2" x14ac:dyDescent="0.2">
      <c r="A646">
        <v>623</v>
      </c>
      <c r="B646" s="36">
        <v>45.476726866403204</v>
      </c>
    </row>
    <row r="647" spans="1:2" x14ac:dyDescent="0.2">
      <c r="A647">
        <v>624</v>
      </c>
      <c r="B647" s="36">
        <v>39.354163090905217</v>
      </c>
    </row>
    <row r="648" spans="1:2" x14ac:dyDescent="0.2">
      <c r="A648">
        <v>625</v>
      </c>
      <c r="B648" s="36">
        <v>44.084201403182441</v>
      </c>
    </row>
    <row r="649" spans="1:2" x14ac:dyDescent="0.2">
      <c r="A649">
        <v>626</v>
      </c>
      <c r="B649" s="36">
        <v>42.063933710097743</v>
      </c>
    </row>
    <row r="650" spans="1:2" x14ac:dyDescent="0.2">
      <c r="A650">
        <v>627</v>
      </c>
      <c r="B650" s="36">
        <v>34.12199609707281</v>
      </c>
    </row>
    <row r="651" spans="1:2" x14ac:dyDescent="0.2">
      <c r="A651">
        <v>628</v>
      </c>
      <c r="B651" s="36">
        <v>43.702001104407593</v>
      </c>
    </row>
    <row r="652" spans="1:2" x14ac:dyDescent="0.2">
      <c r="A652">
        <v>629</v>
      </c>
      <c r="B652" s="36">
        <v>35.328336627122226</v>
      </c>
    </row>
    <row r="653" spans="1:2" x14ac:dyDescent="0.2">
      <c r="A653">
        <v>630</v>
      </c>
      <c r="B653" s="36">
        <v>35.905741292482347</v>
      </c>
    </row>
    <row r="654" spans="1:2" x14ac:dyDescent="0.2">
      <c r="A654">
        <v>631</v>
      </c>
      <c r="B654" s="36">
        <v>44.277824969671272</v>
      </c>
    </row>
    <row r="655" spans="1:2" x14ac:dyDescent="0.2">
      <c r="A655">
        <v>632</v>
      </c>
      <c r="B655" s="36">
        <v>43.589843445486721</v>
      </c>
    </row>
    <row r="656" spans="1:2" x14ac:dyDescent="0.2">
      <c r="A656">
        <v>633</v>
      </c>
      <c r="B656" s="36">
        <v>33.232753257764799</v>
      </c>
    </row>
    <row r="657" spans="1:2" x14ac:dyDescent="0.2">
      <c r="A657">
        <v>634</v>
      </c>
      <c r="B657" s="36">
        <v>39.326782909055211</v>
      </c>
    </row>
    <row r="658" spans="1:2" x14ac:dyDescent="0.2">
      <c r="A658">
        <v>635</v>
      </c>
      <c r="B658" s="36">
        <v>37.626525214947833</v>
      </c>
    </row>
    <row r="659" spans="1:2" x14ac:dyDescent="0.2">
      <c r="A659">
        <v>636</v>
      </c>
      <c r="B659" s="36">
        <v>45.505558244576576</v>
      </c>
    </row>
    <row r="660" spans="1:2" x14ac:dyDescent="0.2">
      <c r="A660">
        <v>637</v>
      </c>
      <c r="B660" s="36">
        <v>41.422594045594423</v>
      </c>
    </row>
    <row r="661" spans="1:2" x14ac:dyDescent="0.2">
      <c r="A661">
        <v>638</v>
      </c>
      <c r="B661" s="36">
        <v>37.987087901801004</v>
      </c>
    </row>
    <row r="662" spans="1:2" x14ac:dyDescent="0.2">
      <c r="A662">
        <v>639</v>
      </c>
      <c r="B662" s="36">
        <v>44.084414031117909</v>
      </c>
    </row>
    <row r="663" spans="1:2" x14ac:dyDescent="0.2">
      <c r="A663">
        <v>640</v>
      </c>
      <c r="B663" s="36">
        <v>45.01572221226867</v>
      </c>
    </row>
    <row r="664" spans="1:2" x14ac:dyDescent="0.2">
      <c r="A664">
        <v>641</v>
      </c>
      <c r="B664" s="36">
        <v>42.150729715111282</v>
      </c>
    </row>
    <row r="665" spans="1:2" x14ac:dyDescent="0.2">
      <c r="A665">
        <v>642</v>
      </c>
      <c r="B665" s="36">
        <v>50.315720217371592</v>
      </c>
    </row>
    <row r="666" spans="1:2" x14ac:dyDescent="0.2">
      <c r="A666">
        <v>643</v>
      </c>
      <c r="B666" s="36">
        <v>34.877098223583609</v>
      </c>
    </row>
    <row r="667" spans="1:2" x14ac:dyDescent="0.2">
      <c r="A667">
        <v>644</v>
      </c>
      <c r="B667" s="36">
        <v>44.942997451575792</v>
      </c>
    </row>
    <row r="668" spans="1:2" x14ac:dyDescent="0.2">
      <c r="A668">
        <v>645</v>
      </c>
      <c r="B668" s="36">
        <v>45.536188855901635</v>
      </c>
    </row>
    <row r="669" spans="1:2" x14ac:dyDescent="0.2">
      <c r="A669">
        <v>646</v>
      </c>
      <c r="B669" s="36">
        <v>33.801479681984198</v>
      </c>
    </row>
    <row r="670" spans="1:2" x14ac:dyDescent="0.2">
      <c r="A670">
        <v>647</v>
      </c>
      <c r="B670" s="36">
        <v>37.031675562212634</v>
      </c>
    </row>
    <row r="671" spans="1:2" x14ac:dyDescent="0.2">
      <c r="A671">
        <v>648</v>
      </c>
      <c r="B671" s="36">
        <v>43.147810294586058</v>
      </c>
    </row>
    <row r="672" spans="1:2" x14ac:dyDescent="0.2">
      <c r="A672">
        <v>649</v>
      </c>
      <c r="B672" s="36">
        <v>37.894055069506472</v>
      </c>
    </row>
    <row r="673" spans="1:2" x14ac:dyDescent="0.2">
      <c r="A673">
        <v>650</v>
      </c>
      <c r="B673" s="36">
        <v>34.907189477298992</v>
      </c>
    </row>
    <row r="674" spans="1:2" x14ac:dyDescent="0.2">
      <c r="A674">
        <v>651</v>
      </c>
      <c r="B674" s="36">
        <v>42.467531687160971</v>
      </c>
    </row>
    <row r="675" spans="1:2" x14ac:dyDescent="0.2">
      <c r="A675">
        <v>652</v>
      </c>
      <c r="B675" s="36">
        <v>43.424131242587961</v>
      </c>
    </row>
    <row r="676" spans="1:2" x14ac:dyDescent="0.2">
      <c r="A676">
        <v>653</v>
      </c>
      <c r="B676" s="36">
        <v>69.780702086622412</v>
      </c>
    </row>
    <row r="677" spans="1:2" x14ac:dyDescent="0.2">
      <c r="A677">
        <v>654</v>
      </c>
      <c r="B677" s="36">
        <v>41.882301887799862</v>
      </c>
    </row>
    <row r="678" spans="1:2" x14ac:dyDescent="0.2">
      <c r="A678">
        <v>655</v>
      </c>
      <c r="B678" s="36">
        <v>38.426025553851495</v>
      </c>
    </row>
    <row r="679" spans="1:2" x14ac:dyDescent="0.2">
      <c r="A679">
        <v>656</v>
      </c>
      <c r="B679" s="36">
        <v>40.154007303840494</v>
      </c>
    </row>
    <row r="680" spans="1:2" x14ac:dyDescent="0.2">
      <c r="A680">
        <v>657</v>
      </c>
      <c r="B680" s="36">
        <v>43.402989128766833</v>
      </c>
    </row>
    <row r="681" spans="1:2" x14ac:dyDescent="0.2">
      <c r="A681">
        <v>658</v>
      </c>
      <c r="B681" s="36">
        <v>48.391295718804813</v>
      </c>
    </row>
    <row r="682" spans="1:2" x14ac:dyDescent="0.2">
      <c r="A682">
        <v>659</v>
      </c>
      <c r="B682" s="36">
        <v>40.028751417477835</v>
      </c>
    </row>
    <row r="683" spans="1:2" x14ac:dyDescent="0.2">
      <c r="A683">
        <v>660</v>
      </c>
      <c r="B683" s="36">
        <v>39.396726671667984</v>
      </c>
    </row>
    <row r="684" spans="1:2" x14ac:dyDescent="0.2">
      <c r="A684">
        <v>661</v>
      </c>
      <c r="B684" s="36">
        <v>43.504309556357441</v>
      </c>
    </row>
    <row r="685" spans="1:2" x14ac:dyDescent="0.2">
      <c r="A685">
        <v>662</v>
      </c>
      <c r="B685" s="36">
        <v>47.491951164076191</v>
      </c>
    </row>
    <row r="686" spans="1:2" x14ac:dyDescent="0.2">
      <c r="A686">
        <v>663</v>
      </c>
      <c r="B686" s="36">
        <v>36.860229190460139</v>
      </c>
    </row>
    <row r="687" spans="1:2" x14ac:dyDescent="0.2">
      <c r="A687">
        <v>664</v>
      </c>
      <c r="B687" s="36">
        <v>38.775337014138898</v>
      </c>
    </row>
    <row r="688" spans="1:2" x14ac:dyDescent="0.2">
      <c r="A688">
        <v>665</v>
      </c>
      <c r="B688" s="36">
        <v>38.858300047779487</v>
      </c>
    </row>
    <row r="689" spans="1:2" x14ac:dyDescent="0.2">
      <c r="A689">
        <v>666</v>
      </c>
      <c r="B689" s="36">
        <v>55.439270052874491</v>
      </c>
    </row>
    <row r="690" spans="1:2" x14ac:dyDescent="0.2">
      <c r="A690">
        <v>667</v>
      </c>
      <c r="B690" s="36">
        <v>35.530481076661772</v>
      </c>
    </row>
    <row r="691" spans="1:2" x14ac:dyDescent="0.2">
      <c r="A691">
        <v>668</v>
      </c>
      <c r="B691" s="36">
        <v>42.371255014883339</v>
      </c>
    </row>
    <row r="692" spans="1:2" x14ac:dyDescent="0.2">
      <c r="A692">
        <v>669</v>
      </c>
      <c r="B692" s="36">
        <v>36.844844846012954</v>
      </c>
    </row>
    <row r="693" spans="1:2" x14ac:dyDescent="0.2">
      <c r="A693">
        <v>670</v>
      </c>
      <c r="B693" s="36">
        <v>37.979130644781172</v>
      </c>
    </row>
    <row r="694" spans="1:2" x14ac:dyDescent="0.2">
      <c r="A694">
        <v>671</v>
      </c>
      <c r="B694" s="36">
        <v>53.158196901729454</v>
      </c>
    </row>
    <row r="695" spans="1:2" x14ac:dyDescent="0.2">
      <c r="A695">
        <v>672</v>
      </c>
      <c r="B695" s="36">
        <v>45.357957868169287</v>
      </c>
    </row>
    <row r="696" spans="1:2" x14ac:dyDescent="0.2">
      <c r="A696">
        <v>673</v>
      </c>
      <c r="B696" s="36">
        <v>44.444868669058224</v>
      </c>
    </row>
    <row r="697" spans="1:2" x14ac:dyDescent="0.2">
      <c r="A697">
        <v>674</v>
      </c>
      <c r="B697" s="36">
        <v>45.755780391355465</v>
      </c>
    </row>
    <row r="698" spans="1:2" x14ac:dyDescent="0.2">
      <c r="A698">
        <v>675</v>
      </c>
      <c r="B698" s="36">
        <v>41.911144747951305</v>
      </c>
    </row>
    <row r="699" spans="1:2" x14ac:dyDescent="0.2">
      <c r="A699">
        <v>676</v>
      </c>
      <c r="B699" s="36">
        <v>47.00747382274848</v>
      </c>
    </row>
    <row r="700" spans="1:2" x14ac:dyDescent="0.2">
      <c r="A700">
        <v>677</v>
      </c>
      <c r="B700" s="36">
        <v>38.975118826578573</v>
      </c>
    </row>
    <row r="701" spans="1:2" x14ac:dyDescent="0.2">
      <c r="A701">
        <v>678</v>
      </c>
      <c r="B701" s="36">
        <v>41.907426919976153</v>
      </c>
    </row>
    <row r="702" spans="1:2" x14ac:dyDescent="0.2">
      <c r="A702">
        <v>679</v>
      </c>
      <c r="B702" s="36">
        <v>44.875087665518691</v>
      </c>
    </row>
    <row r="703" spans="1:2" x14ac:dyDescent="0.2">
      <c r="A703">
        <v>680</v>
      </c>
      <c r="B703" s="36">
        <v>39.862662325671451</v>
      </c>
    </row>
    <row r="704" spans="1:2" x14ac:dyDescent="0.2">
      <c r="A704">
        <v>681</v>
      </c>
      <c r="B704" s="36">
        <v>42.629797570565856</v>
      </c>
    </row>
    <row r="705" spans="1:2" x14ac:dyDescent="0.2">
      <c r="A705">
        <v>682</v>
      </c>
      <c r="B705" s="36">
        <v>39.449161417735525</v>
      </c>
    </row>
    <row r="706" spans="1:2" x14ac:dyDescent="0.2">
      <c r="A706">
        <v>683</v>
      </c>
      <c r="B706" s="36">
        <v>36.357033156540481</v>
      </c>
    </row>
    <row r="707" spans="1:2" x14ac:dyDescent="0.2">
      <c r="A707">
        <v>684</v>
      </c>
      <c r="B707" s="36">
        <v>41.172187285508549</v>
      </c>
    </row>
    <row r="708" spans="1:2" x14ac:dyDescent="0.2">
      <c r="A708">
        <v>685</v>
      </c>
      <c r="B708" s="36">
        <v>43.076592069452303</v>
      </c>
    </row>
    <row r="709" spans="1:2" x14ac:dyDescent="0.2">
      <c r="A709">
        <v>686</v>
      </c>
      <c r="B709" s="36">
        <v>37.480039972145498</v>
      </c>
    </row>
    <row r="710" spans="1:2" x14ac:dyDescent="0.2">
      <c r="A710">
        <v>687</v>
      </c>
      <c r="B710" s="36">
        <v>33.647084274446065</v>
      </c>
    </row>
    <row r="711" spans="1:2" x14ac:dyDescent="0.2">
      <c r="A711">
        <v>688</v>
      </c>
      <c r="B711" s="36">
        <v>35.917043043687762</v>
      </c>
    </row>
    <row r="712" spans="1:2" x14ac:dyDescent="0.2">
      <c r="A712">
        <v>689</v>
      </c>
      <c r="B712" s="36">
        <v>44.809682276311612</v>
      </c>
    </row>
    <row r="713" spans="1:2" x14ac:dyDescent="0.2">
      <c r="A713">
        <v>690</v>
      </c>
      <c r="B713" s="36">
        <v>68.037226645985641</v>
      </c>
    </row>
    <row r="714" spans="1:2" x14ac:dyDescent="0.2">
      <c r="A714">
        <v>691</v>
      </c>
      <c r="B714" s="36">
        <v>46.452762418174856</v>
      </c>
    </row>
    <row r="715" spans="1:2" x14ac:dyDescent="0.2">
      <c r="A715">
        <v>692</v>
      </c>
      <c r="B715" s="36">
        <v>39.796750651085389</v>
      </c>
    </row>
    <row r="716" spans="1:2" x14ac:dyDescent="0.2">
      <c r="A716">
        <v>693</v>
      </c>
      <c r="B716" s="36">
        <v>42.621457276185218</v>
      </c>
    </row>
    <row r="717" spans="1:2" x14ac:dyDescent="0.2">
      <c r="A717">
        <v>694</v>
      </c>
      <c r="B717" s="36">
        <v>38.280993876799556</v>
      </c>
    </row>
    <row r="718" spans="1:2" x14ac:dyDescent="0.2">
      <c r="A718">
        <v>695</v>
      </c>
      <c r="B718" s="36">
        <v>34.008336252535322</v>
      </c>
    </row>
    <row r="719" spans="1:2" x14ac:dyDescent="0.2">
      <c r="A719">
        <v>696</v>
      </c>
      <c r="B719" s="36">
        <v>57.418899875585083</v>
      </c>
    </row>
    <row r="720" spans="1:2" x14ac:dyDescent="0.2">
      <c r="A720">
        <v>697</v>
      </c>
      <c r="B720" s="36">
        <v>41.176280162684741</v>
      </c>
    </row>
    <row r="721" spans="1:2" x14ac:dyDescent="0.2">
      <c r="A721">
        <v>698</v>
      </c>
      <c r="B721" s="36">
        <v>41.489282183371031</v>
      </c>
    </row>
    <row r="722" spans="1:2" x14ac:dyDescent="0.2">
      <c r="A722">
        <v>699</v>
      </c>
      <c r="B722" s="36">
        <v>41.699308042512229</v>
      </c>
    </row>
    <row r="723" spans="1:2" x14ac:dyDescent="0.2">
      <c r="A723">
        <v>700</v>
      </c>
      <c r="B723" s="36">
        <v>46.654969700786019</v>
      </c>
    </row>
    <row r="724" spans="1:2" x14ac:dyDescent="0.2">
      <c r="A724">
        <v>701</v>
      </c>
      <c r="B724" s="36">
        <v>42.569161616361299</v>
      </c>
    </row>
    <row r="725" spans="1:2" x14ac:dyDescent="0.2">
      <c r="A725">
        <v>702</v>
      </c>
      <c r="B725" s="36">
        <v>88.755817421887599</v>
      </c>
    </row>
    <row r="726" spans="1:2" x14ac:dyDescent="0.2">
      <c r="A726">
        <v>703</v>
      </c>
      <c r="B726" s="36">
        <v>45.729688395205528</v>
      </c>
    </row>
    <row r="727" spans="1:2" x14ac:dyDescent="0.2">
      <c r="A727">
        <v>704</v>
      </c>
      <c r="B727" s="36">
        <v>49.382669243410689</v>
      </c>
    </row>
    <row r="728" spans="1:2" x14ac:dyDescent="0.2">
      <c r="A728">
        <v>705</v>
      </c>
      <c r="B728" s="36">
        <v>42.181581652354431</v>
      </c>
    </row>
    <row r="729" spans="1:2" x14ac:dyDescent="0.2">
      <c r="A729">
        <v>706</v>
      </c>
      <c r="B729" s="36">
        <v>50.286150840568311</v>
      </c>
    </row>
    <row r="730" spans="1:2" x14ac:dyDescent="0.2">
      <c r="A730">
        <v>707</v>
      </c>
      <c r="B730" s="36">
        <v>38.664269796407197</v>
      </c>
    </row>
    <row r="731" spans="1:2" x14ac:dyDescent="0.2">
      <c r="A731">
        <v>708</v>
      </c>
      <c r="B731" s="36">
        <v>44.391548765153189</v>
      </c>
    </row>
    <row r="732" spans="1:2" x14ac:dyDescent="0.2">
      <c r="A732">
        <v>709</v>
      </c>
      <c r="B732" s="36">
        <v>45.415796757269234</v>
      </c>
    </row>
    <row r="733" spans="1:2" x14ac:dyDescent="0.2">
      <c r="A733">
        <v>710</v>
      </c>
      <c r="B733" s="36">
        <v>35.543977989472481</v>
      </c>
    </row>
    <row r="734" spans="1:2" x14ac:dyDescent="0.2">
      <c r="A734">
        <v>711</v>
      </c>
      <c r="B734" s="36">
        <v>42.406482771412655</v>
      </c>
    </row>
    <row r="735" spans="1:2" x14ac:dyDescent="0.2">
      <c r="A735">
        <v>712</v>
      </c>
      <c r="B735" s="36">
        <v>41.027448725090167</v>
      </c>
    </row>
    <row r="736" spans="1:2" x14ac:dyDescent="0.2">
      <c r="A736">
        <v>713</v>
      </c>
      <c r="B736" s="36">
        <v>37.563639064552746</v>
      </c>
    </row>
    <row r="737" spans="1:2" x14ac:dyDescent="0.2">
      <c r="A737">
        <v>714</v>
      </c>
      <c r="B737" s="36">
        <v>38.525283993608113</v>
      </c>
    </row>
    <row r="738" spans="1:2" x14ac:dyDescent="0.2">
      <c r="A738">
        <v>715</v>
      </c>
      <c r="B738" s="36">
        <v>41.877496981689163</v>
      </c>
    </row>
    <row r="739" spans="1:2" x14ac:dyDescent="0.2">
      <c r="A739">
        <v>716</v>
      </c>
      <c r="B739" s="36">
        <v>36.844110444613783</v>
      </c>
    </row>
    <row r="740" spans="1:2" x14ac:dyDescent="0.2">
      <c r="A740">
        <v>717</v>
      </c>
      <c r="B740" s="36">
        <v>44.006628081497745</v>
      </c>
    </row>
    <row r="741" spans="1:2" x14ac:dyDescent="0.2">
      <c r="A741">
        <v>718</v>
      </c>
      <c r="B741" s="36">
        <v>35.374140531550381</v>
      </c>
    </row>
    <row r="742" spans="1:2" x14ac:dyDescent="0.2">
      <c r="A742">
        <v>719</v>
      </c>
      <c r="B742" s="36">
        <v>46.150497077184767</v>
      </c>
    </row>
    <row r="743" spans="1:2" x14ac:dyDescent="0.2">
      <c r="A743">
        <v>720</v>
      </c>
      <c r="B743" s="36">
        <v>35.395709171355065</v>
      </c>
    </row>
    <row r="744" spans="1:2" x14ac:dyDescent="0.2">
      <c r="A744">
        <v>721</v>
      </c>
      <c r="B744" s="36">
        <v>42.041471416305178</v>
      </c>
    </row>
    <row r="745" spans="1:2" x14ac:dyDescent="0.2">
      <c r="A745">
        <v>722</v>
      </c>
      <c r="B745" s="36">
        <v>35.437628741719713</v>
      </c>
    </row>
    <row r="746" spans="1:2" x14ac:dyDescent="0.2">
      <c r="A746">
        <v>723</v>
      </c>
      <c r="B746" s="36">
        <v>57.382081143143886</v>
      </c>
    </row>
    <row r="747" spans="1:2" x14ac:dyDescent="0.2">
      <c r="A747">
        <v>724</v>
      </c>
      <c r="B747" s="36">
        <v>32.238710776520364</v>
      </c>
    </row>
    <row r="748" spans="1:2" x14ac:dyDescent="0.2">
      <c r="A748">
        <v>725</v>
      </c>
      <c r="B748" s="36">
        <v>55.423876024056085</v>
      </c>
    </row>
    <row r="749" spans="1:2" x14ac:dyDescent="0.2">
      <c r="A749">
        <v>726</v>
      </c>
      <c r="B749" s="36">
        <v>41.034759520476605</v>
      </c>
    </row>
    <row r="750" spans="1:2" x14ac:dyDescent="0.2">
      <c r="A750">
        <v>727</v>
      </c>
      <c r="B750" s="36">
        <v>38.616944723586371</v>
      </c>
    </row>
    <row r="751" spans="1:2" x14ac:dyDescent="0.2">
      <c r="A751">
        <v>728</v>
      </c>
      <c r="B751" s="36">
        <v>38.492655556370011</v>
      </c>
    </row>
    <row r="752" spans="1:2" x14ac:dyDescent="0.2">
      <c r="A752">
        <v>729</v>
      </c>
      <c r="B752" s="36">
        <v>38.775556124652802</v>
      </c>
    </row>
    <row r="753" spans="1:2" x14ac:dyDescent="0.2">
      <c r="A753">
        <v>730</v>
      </c>
      <c r="B753" s="36">
        <v>42.101121991251183</v>
      </c>
    </row>
    <row r="754" spans="1:2" x14ac:dyDescent="0.2">
      <c r="A754">
        <v>731</v>
      </c>
      <c r="B754" s="36">
        <v>37.203666653787195</v>
      </c>
    </row>
    <row r="755" spans="1:2" x14ac:dyDescent="0.2">
      <c r="A755">
        <v>732</v>
      </c>
      <c r="B755" s="36">
        <v>39.064688637959335</v>
      </c>
    </row>
    <row r="756" spans="1:2" x14ac:dyDescent="0.2">
      <c r="A756">
        <v>733</v>
      </c>
      <c r="B756" s="36">
        <v>33.234303820959333</v>
      </c>
    </row>
    <row r="757" spans="1:2" x14ac:dyDescent="0.2">
      <c r="A757">
        <v>734</v>
      </c>
      <c r="B757" s="36">
        <v>39.483468517499418</v>
      </c>
    </row>
    <row r="758" spans="1:2" x14ac:dyDescent="0.2">
      <c r="A758">
        <v>735</v>
      </c>
      <c r="B758" s="36">
        <v>38.446180084869646</v>
      </c>
    </row>
    <row r="759" spans="1:2" x14ac:dyDescent="0.2">
      <c r="A759">
        <v>736</v>
      </c>
      <c r="B759" s="36">
        <v>39.715180103254845</v>
      </c>
    </row>
    <row r="760" spans="1:2" x14ac:dyDescent="0.2">
      <c r="A760">
        <v>737</v>
      </c>
      <c r="B760" s="36">
        <v>49.590554167906859</v>
      </c>
    </row>
    <row r="761" spans="1:2" x14ac:dyDescent="0.2">
      <c r="A761">
        <v>738</v>
      </c>
      <c r="B761" s="36">
        <v>48.419353472858155</v>
      </c>
    </row>
    <row r="762" spans="1:2" x14ac:dyDescent="0.2">
      <c r="A762">
        <v>739</v>
      </c>
      <c r="B762" s="36">
        <v>43.615186544075328</v>
      </c>
    </row>
    <row r="763" spans="1:2" x14ac:dyDescent="0.2">
      <c r="A763">
        <v>740</v>
      </c>
      <c r="B763" s="36">
        <v>36.756079342538072</v>
      </c>
    </row>
    <row r="764" spans="1:2" x14ac:dyDescent="0.2">
      <c r="A764">
        <v>741</v>
      </c>
      <c r="B764" s="36">
        <v>64.231599962066966</v>
      </c>
    </row>
    <row r="765" spans="1:2" x14ac:dyDescent="0.2">
      <c r="A765">
        <v>742</v>
      </c>
      <c r="B765" s="36">
        <v>51.203976774778269</v>
      </c>
    </row>
    <row r="766" spans="1:2" x14ac:dyDescent="0.2">
      <c r="A766">
        <v>743</v>
      </c>
      <c r="B766" s="36">
        <v>39.806194827314961</v>
      </c>
    </row>
    <row r="767" spans="1:2" x14ac:dyDescent="0.2">
      <c r="A767">
        <v>744</v>
      </c>
      <c r="B767" s="36">
        <v>63.440102617424543</v>
      </c>
    </row>
    <row r="768" spans="1:2" x14ac:dyDescent="0.2">
      <c r="A768">
        <v>745</v>
      </c>
      <c r="B768" s="36">
        <v>74.488152500902544</v>
      </c>
    </row>
    <row r="769" spans="1:2" x14ac:dyDescent="0.2">
      <c r="A769">
        <v>746</v>
      </c>
      <c r="B769" s="36">
        <v>40.972266034892478</v>
      </c>
    </row>
    <row r="770" spans="1:2" x14ac:dyDescent="0.2">
      <c r="A770">
        <v>747</v>
      </c>
      <c r="B770" s="36">
        <v>33.871748914531921</v>
      </c>
    </row>
    <row r="771" spans="1:2" x14ac:dyDescent="0.2">
      <c r="A771">
        <v>748</v>
      </c>
      <c r="B771" s="36">
        <v>32.438802722430161</v>
      </c>
    </row>
    <row r="772" spans="1:2" x14ac:dyDescent="0.2">
      <c r="A772">
        <v>749</v>
      </c>
      <c r="B772" s="36">
        <v>35.41283057480014</v>
      </c>
    </row>
    <row r="773" spans="1:2" x14ac:dyDescent="0.2">
      <c r="A773">
        <v>750</v>
      </c>
      <c r="B773" s="36">
        <v>39.258759153295919</v>
      </c>
    </row>
    <row r="774" spans="1:2" x14ac:dyDescent="0.2">
      <c r="A774">
        <v>751</v>
      </c>
      <c r="B774" s="36">
        <v>36.715092690564404</v>
      </c>
    </row>
    <row r="775" spans="1:2" x14ac:dyDescent="0.2">
      <c r="A775">
        <v>752</v>
      </c>
      <c r="B775" s="36">
        <v>41.606436802246314</v>
      </c>
    </row>
    <row r="776" spans="1:2" x14ac:dyDescent="0.2">
      <c r="A776">
        <v>753</v>
      </c>
      <c r="B776" s="36">
        <v>35.154492589516678</v>
      </c>
    </row>
    <row r="777" spans="1:2" x14ac:dyDescent="0.2">
      <c r="A777">
        <v>754</v>
      </c>
      <c r="B777" s="36">
        <v>55.683493721819147</v>
      </c>
    </row>
    <row r="778" spans="1:2" x14ac:dyDescent="0.2">
      <c r="A778">
        <v>755</v>
      </c>
      <c r="B778" s="36">
        <v>35.432544650793652</v>
      </c>
    </row>
    <row r="779" spans="1:2" x14ac:dyDescent="0.2">
      <c r="A779">
        <v>756</v>
      </c>
      <c r="B779" s="36">
        <v>40.109590723065921</v>
      </c>
    </row>
    <row r="780" spans="1:2" x14ac:dyDescent="0.2">
      <c r="A780">
        <v>757</v>
      </c>
      <c r="B780" s="36">
        <v>45.497006727358887</v>
      </c>
    </row>
    <row r="781" spans="1:2" x14ac:dyDescent="0.2">
      <c r="A781">
        <v>758</v>
      </c>
      <c r="B781" s="36">
        <v>39.418387535964918</v>
      </c>
    </row>
    <row r="782" spans="1:2" x14ac:dyDescent="0.2">
      <c r="A782">
        <v>759</v>
      </c>
      <c r="B782" s="36">
        <v>37.059511364179876</v>
      </c>
    </row>
    <row r="783" spans="1:2" x14ac:dyDescent="0.2">
      <c r="A783">
        <v>760</v>
      </c>
      <c r="B783" s="36">
        <v>31.56325399584528</v>
      </c>
    </row>
    <row r="784" spans="1:2" x14ac:dyDescent="0.2">
      <c r="A784">
        <v>761</v>
      </c>
      <c r="B784" s="36">
        <v>36.138090512763533</v>
      </c>
    </row>
    <row r="785" spans="1:2" x14ac:dyDescent="0.2">
      <c r="A785">
        <v>762</v>
      </c>
      <c r="B785" s="36">
        <v>37.139633286271568</v>
      </c>
    </row>
    <row r="786" spans="1:2" x14ac:dyDescent="0.2">
      <c r="A786">
        <v>763</v>
      </c>
      <c r="B786" s="36">
        <v>36.720701357496907</v>
      </c>
    </row>
    <row r="787" spans="1:2" x14ac:dyDescent="0.2">
      <c r="A787">
        <v>764</v>
      </c>
      <c r="B787" s="36">
        <v>44.491451354710733</v>
      </c>
    </row>
    <row r="788" spans="1:2" x14ac:dyDescent="0.2">
      <c r="A788">
        <v>765</v>
      </c>
      <c r="B788" s="36">
        <v>34.402229885039901</v>
      </c>
    </row>
    <row r="789" spans="1:2" x14ac:dyDescent="0.2">
      <c r="A789">
        <v>766</v>
      </c>
      <c r="B789" s="36">
        <v>39.163103005049841</v>
      </c>
    </row>
    <row r="790" spans="1:2" x14ac:dyDescent="0.2">
      <c r="A790">
        <v>767</v>
      </c>
      <c r="B790" s="36">
        <v>49.215406073546198</v>
      </c>
    </row>
    <row r="791" spans="1:2" x14ac:dyDescent="0.2">
      <c r="A791">
        <v>768</v>
      </c>
      <c r="B791" s="36">
        <v>38.432144960292263</v>
      </c>
    </row>
    <row r="792" spans="1:2" x14ac:dyDescent="0.2">
      <c r="A792">
        <v>769</v>
      </c>
      <c r="B792" s="36">
        <v>37.371709516653517</v>
      </c>
    </row>
    <row r="793" spans="1:2" x14ac:dyDescent="0.2">
      <c r="A793">
        <v>770</v>
      </c>
      <c r="B793" s="36">
        <v>50.090313207701605</v>
      </c>
    </row>
    <row r="794" spans="1:2" x14ac:dyDescent="0.2">
      <c r="A794">
        <v>771</v>
      </c>
      <c r="B794" s="36">
        <v>43.485118693021739</v>
      </c>
    </row>
    <row r="795" spans="1:2" x14ac:dyDescent="0.2">
      <c r="A795">
        <v>772</v>
      </c>
      <c r="B795" s="36">
        <v>46.461108529448666</v>
      </c>
    </row>
    <row r="796" spans="1:2" x14ac:dyDescent="0.2">
      <c r="A796">
        <v>773</v>
      </c>
      <c r="B796" s="36">
        <v>41.65209584202691</v>
      </c>
    </row>
    <row r="797" spans="1:2" x14ac:dyDescent="0.2">
      <c r="A797">
        <v>774</v>
      </c>
      <c r="B797" s="36">
        <v>36.539958590063343</v>
      </c>
    </row>
    <row r="798" spans="1:2" x14ac:dyDescent="0.2">
      <c r="A798">
        <v>775</v>
      </c>
      <c r="B798" s="36">
        <v>38.916451212230733</v>
      </c>
    </row>
    <row r="799" spans="1:2" x14ac:dyDescent="0.2">
      <c r="A799">
        <v>776</v>
      </c>
      <c r="B799" s="36">
        <v>36.378493964028948</v>
      </c>
    </row>
    <row r="800" spans="1:2" x14ac:dyDescent="0.2">
      <c r="A800">
        <v>777</v>
      </c>
      <c r="B800" s="36">
        <v>39.959972880205022</v>
      </c>
    </row>
    <row r="801" spans="1:2" x14ac:dyDescent="0.2">
      <c r="A801">
        <v>778</v>
      </c>
      <c r="B801" s="36">
        <v>40.151354271318027</v>
      </c>
    </row>
    <row r="802" spans="1:2" x14ac:dyDescent="0.2">
      <c r="A802">
        <v>779</v>
      </c>
      <c r="B802" s="36">
        <v>41.142737161684728</v>
      </c>
    </row>
    <row r="803" spans="1:2" x14ac:dyDescent="0.2">
      <c r="A803">
        <v>780</v>
      </c>
      <c r="B803" s="36">
        <v>46.992126414325057</v>
      </c>
    </row>
    <row r="804" spans="1:2" x14ac:dyDescent="0.2">
      <c r="A804">
        <v>781</v>
      </c>
      <c r="B804" s="36">
        <v>58.488076832032704</v>
      </c>
    </row>
    <row r="805" spans="1:2" x14ac:dyDescent="0.2">
      <c r="A805">
        <v>782</v>
      </c>
      <c r="B805" s="36">
        <v>30.370000905741744</v>
      </c>
    </row>
    <row r="806" spans="1:2" x14ac:dyDescent="0.2">
      <c r="A806">
        <v>783</v>
      </c>
      <c r="B806" s="36">
        <v>37.027686153705829</v>
      </c>
    </row>
    <row r="807" spans="1:2" x14ac:dyDescent="0.2">
      <c r="A807">
        <v>784</v>
      </c>
      <c r="B807" s="36">
        <v>41.880836044193494</v>
      </c>
    </row>
    <row r="808" spans="1:2" x14ac:dyDescent="0.2">
      <c r="A808">
        <v>785</v>
      </c>
      <c r="B808" s="36">
        <v>42.542859137789279</v>
      </c>
    </row>
    <row r="809" spans="1:2" x14ac:dyDescent="0.2">
      <c r="A809">
        <v>786</v>
      </c>
      <c r="B809" s="36">
        <v>35.09405691487941</v>
      </c>
    </row>
    <row r="810" spans="1:2" x14ac:dyDescent="0.2">
      <c r="A810">
        <v>787</v>
      </c>
      <c r="B810" s="36">
        <v>43.487005454429237</v>
      </c>
    </row>
    <row r="811" spans="1:2" x14ac:dyDescent="0.2">
      <c r="A811">
        <v>788</v>
      </c>
      <c r="B811" s="36">
        <v>46.310368419036628</v>
      </c>
    </row>
    <row r="812" spans="1:2" x14ac:dyDescent="0.2">
      <c r="A812">
        <v>789</v>
      </c>
      <c r="B812" s="36">
        <v>46.993274888137364</v>
      </c>
    </row>
    <row r="813" spans="1:2" x14ac:dyDescent="0.2">
      <c r="A813">
        <v>790</v>
      </c>
      <c r="B813" s="36">
        <v>38.387892448732011</v>
      </c>
    </row>
    <row r="814" spans="1:2" x14ac:dyDescent="0.2">
      <c r="A814">
        <v>791</v>
      </c>
      <c r="B814" s="36">
        <v>44.870672776785696</v>
      </c>
    </row>
    <row r="815" spans="1:2" x14ac:dyDescent="0.2">
      <c r="A815">
        <v>792</v>
      </c>
      <c r="B815" s="36">
        <v>58.153920882062828</v>
      </c>
    </row>
    <row r="816" spans="1:2" x14ac:dyDescent="0.2">
      <c r="A816">
        <v>793</v>
      </c>
      <c r="B816" s="36">
        <v>42.774895748874876</v>
      </c>
    </row>
    <row r="817" spans="1:2" x14ac:dyDescent="0.2">
      <c r="A817">
        <v>794</v>
      </c>
      <c r="B817" s="36">
        <v>46.326769920714661</v>
      </c>
    </row>
    <row r="818" spans="1:2" x14ac:dyDescent="0.2">
      <c r="A818">
        <v>795</v>
      </c>
      <c r="B818" s="36">
        <v>41.856305275755076</v>
      </c>
    </row>
    <row r="819" spans="1:2" x14ac:dyDescent="0.2">
      <c r="A819">
        <v>796</v>
      </c>
      <c r="B819" s="36">
        <v>58.843975187721853</v>
      </c>
    </row>
    <row r="820" spans="1:2" x14ac:dyDescent="0.2">
      <c r="A820">
        <v>797</v>
      </c>
      <c r="B820" s="36">
        <v>38.762045477079745</v>
      </c>
    </row>
    <row r="821" spans="1:2" x14ac:dyDescent="0.2">
      <c r="A821">
        <v>798</v>
      </c>
      <c r="B821" s="36">
        <v>43.029683179662563</v>
      </c>
    </row>
    <row r="822" spans="1:2" x14ac:dyDescent="0.2">
      <c r="A822">
        <v>799</v>
      </c>
      <c r="B822" s="36">
        <v>45.11011060768309</v>
      </c>
    </row>
    <row r="823" spans="1:2" x14ac:dyDescent="0.2">
      <c r="A823">
        <v>800</v>
      </c>
      <c r="B823" s="36">
        <v>36.125112727031897</v>
      </c>
    </row>
    <row r="824" spans="1:2" x14ac:dyDescent="0.2">
      <c r="A824">
        <v>801</v>
      </c>
      <c r="B824" s="36">
        <v>41.881946023823453</v>
      </c>
    </row>
    <row r="825" spans="1:2" x14ac:dyDescent="0.2">
      <c r="A825">
        <v>802</v>
      </c>
      <c r="B825" s="36">
        <v>47.740559047552765</v>
      </c>
    </row>
    <row r="826" spans="1:2" x14ac:dyDescent="0.2">
      <c r="A826">
        <v>803</v>
      </c>
      <c r="B826" s="36">
        <v>38.329623450785355</v>
      </c>
    </row>
    <row r="827" spans="1:2" x14ac:dyDescent="0.2">
      <c r="A827">
        <v>804</v>
      </c>
      <c r="B827" s="36">
        <v>45.617852154438459</v>
      </c>
    </row>
    <row r="828" spans="1:2" x14ac:dyDescent="0.2">
      <c r="A828">
        <v>805</v>
      </c>
      <c r="B828" s="36">
        <v>51.159186113276306</v>
      </c>
    </row>
    <row r="829" spans="1:2" x14ac:dyDescent="0.2">
      <c r="A829">
        <v>806</v>
      </c>
      <c r="B829" s="36">
        <v>43.800152527065691</v>
      </c>
    </row>
    <row r="830" spans="1:2" x14ac:dyDescent="0.2">
      <c r="A830">
        <v>807</v>
      </c>
      <c r="B830" s="36">
        <v>45.002040842481037</v>
      </c>
    </row>
    <row r="831" spans="1:2" x14ac:dyDescent="0.2">
      <c r="A831">
        <v>808</v>
      </c>
      <c r="B831" s="36">
        <v>38.675497282527182</v>
      </c>
    </row>
    <row r="832" spans="1:2" x14ac:dyDescent="0.2">
      <c r="A832">
        <v>809</v>
      </c>
      <c r="B832" s="36">
        <v>39.138077169132544</v>
      </c>
    </row>
    <row r="833" spans="1:2" x14ac:dyDescent="0.2">
      <c r="A833">
        <v>810</v>
      </c>
      <c r="B833" s="36">
        <v>40.139484157545041</v>
      </c>
    </row>
    <row r="834" spans="1:2" x14ac:dyDescent="0.2">
      <c r="A834">
        <v>811</v>
      </c>
      <c r="B834" s="36">
        <v>49.115382502777592</v>
      </c>
    </row>
    <row r="835" spans="1:2" x14ac:dyDescent="0.2">
      <c r="A835">
        <v>812</v>
      </c>
      <c r="B835" s="36">
        <v>43.27836935813329</v>
      </c>
    </row>
    <row r="836" spans="1:2" x14ac:dyDescent="0.2">
      <c r="A836">
        <v>813</v>
      </c>
      <c r="B836" s="36">
        <v>49.244643207160308</v>
      </c>
    </row>
    <row r="837" spans="1:2" x14ac:dyDescent="0.2">
      <c r="A837">
        <v>814</v>
      </c>
      <c r="B837" s="36">
        <v>43.486108779892874</v>
      </c>
    </row>
    <row r="838" spans="1:2" x14ac:dyDescent="0.2">
      <c r="A838">
        <v>815</v>
      </c>
      <c r="B838" s="36">
        <v>46.634586416574599</v>
      </c>
    </row>
    <row r="839" spans="1:2" x14ac:dyDescent="0.2">
      <c r="A839">
        <v>816</v>
      </c>
      <c r="B839" s="36">
        <v>42.562605254885142</v>
      </c>
    </row>
    <row r="840" spans="1:2" x14ac:dyDescent="0.2">
      <c r="A840">
        <v>817</v>
      </c>
      <c r="B840" s="36">
        <v>43.514885608523997</v>
      </c>
    </row>
    <row r="841" spans="1:2" x14ac:dyDescent="0.2">
      <c r="A841">
        <v>818</v>
      </c>
      <c r="B841" s="36">
        <v>55.717168081179494</v>
      </c>
    </row>
    <row r="842" spans="1:2" x14ac:dyDescent="0.2">
      <c r="A842">
        <v>819</v>
      </c>
      <c r="B842" s="36">
        <v>39.916719197180086</v>
      </c>
    </row>
    <row r="843" spans="1:2" x14ac:dyDescent="0.2">
      <c r="A843">
        <v>820</v>
      </c>
      <c r="B843" s="36">
        <v>42.14756884433087</v>
      </c>
    </row>
    <row r="844" spans="1:2" x14ac:dyDescent="0.2">
      <c r="A844">
        <v>821</v>
      </c>
      <c r="B844" s="36">
        <v>38.867410757675593</v>
      </c>
    </row>
    <row r="845" spans="1:2" x14ac:dyDescent="0.2">
      <c r="A845">
        <v>822</v>
      </c>
      <c r="B845" s="36">
        <v>44.415467964620653</v>
      </c>
    </row>
    <row r="846" spans="1:2" x14ac:dyDescent="0.2">
      <c r="A846">
        <v>823</v>
      </c>
      <c r="B846" s="36">
        <v>35.055221948989832</v>
      </c>
    </row>
    <row r="847" spans="1:2" x14ac:dyDescent="0.2">
      <c r="A847">
        <v>824</v>
      </c>
      <c r="B847" s="36">
        <v>57.631349107670268</v>
      </c>
    </row>
    <row r="848" spans="1:2" x14ac:dyDescent="0.2">
      <c r="A848">
        <v>825</v>
      </c>
      <c r="B848" s="36">
        <v>85.988502098556381</v>
      </c>
    </row>
    <row r="849" spans="1:2" x14ac:dyDescent="0.2">
      <c r="A849">
        <v>826</v>
      </c>
      <c r="B849" s="36">
        <v>32.309619873753533</v>
      </c>
    </row>
    <row r="850" spans="1:2" x14ac:dyDescent="0.2">
      <c r="A850">
        <v>827</v>
      </c>
      <c r="B850" s="36">
        <v>48.672913422941058</v>
      </c>
    </row>
    <row r="851" spans="1:2" x14ac:dyDescent="0.2">
      <c r="A851">
        <v>828</v>
      </c>
      <c r="B851" s="36">
        <v>46.263105239317042</v>
      </c>
    </row>
    <row r="852" spans="1:2" x14ac:dyDescent="0.2">
      <c r="A852">
        <v>829</v>
      </c>
      <c r="B852" s="36">
        <v>43.62795161482957</v>
      </c>
    </row>
    <row r="853" spans="1:2" x14ac:dyDescent="0.2">
      <c r="A853">
        <v>830</v>
      </c>
      <c r="B853" s="36">
        <v>41.297084393652611</v>
      </c>
    </row>
    <row r="854" spans="1:2" x14ac:dyDescent="0.2">
      <c r="A854">
        <v>831</v>
      </c>
      <c r="B854" s="36">
        <v>40.851442928544472</v>
      </c>
    </row>
    <row r="855" spans="1:2" x14ac:dyDescent="0.2">
      <c r="A855">
        <v>832</v>
      </c>
      <c r="B855" s="36">
        <v>36.975559838277334</v>
      </c>
    </row>
    <row r="856" spans="1:2" x14ac:dyDescent="0.2">
      <c r="A856">
        <v>833</v>
      </c>
      <c r="B856" s="36">
        <v>35.065277105396568</v>
      </c>
    </row>
    <row r="857" spans="1:2" x14ac:dyDescent="0.2">
      <c r="A857">
        <v>834</v>
      </c>
      <c r="B857" s="36">
        <v>35.502922447321239</v>
      </c>
    </row>
    <row r="858" spans="1:2" x14ac:dyDescent="0.2">
      <c r="A858">
        <v>835</v>
      </c>
      <c r="B858" s="36">
        <v>42.642580143292413</v>
      </c>
    </row>
    <row r="859" spans="1:2" x14ac:dyDescent="0.2">
      <c r="A859">
        <v>836</v>
      </c>
      <c r="B859" s="36">
        <v>47.548581932510245</v>
      </c>
    </row>
    <row r="860" spans="1:2" x14ac:dyDescent="0.2">
      <c r="A860">
        <v>837</v>
      </c>
      <c r="B860" s="36">
        <v>41.234383420608708</v>
      </c>
    </row>
    <row r="861" spans="1:2" x14ac:dyDescent="0.2">
      <c r="A861">
        <v>838</v>
      </c>
      <c r="B861" s="36">
        <v>34.135208932286027</v>
      </c>
    </row>
    <row r="862" spans="1:2" x14ac:dyDescent="0.2">
      <c r="A862">
        <v>839</v>
      </c>
      <c r="B862" s="36">
        <v>42.040043248162007</v>
      </c>
    </row>
    <row r="863" spans="1:2" x14ac:dyDescent="0.2">
      <c r="A863">
        <v>840</v>
      </c>
      <c r="B863" s="36">
        <v>47.245401831935069</v>
      </c>
    </row>
    <row r="864" spans="1:2" x14ac:dyDescent="0.2">
      <c r="A864">
        <v>841</v>
      </c>
      <c r="B864" s="36">
        <v>50.278349409217164</v>
      </c>
    </row>
    <row r="865" spans="1:2" x14ac:dyDescent="0.2">
      <c r="A865">
        <v>842</v>
      </c>
      <c r="B865" s="36">
        <v>30.678243348853954</v>
      </c>
    </row>
    <row r="866" spans="1:2" x14ac:dyDescent="0.2">
      <c r="A866">
        <v>843</v>
      </c>
      <c r="B866" s="36">
        <v>31.815500881408095</v>
      </c>
    </row>
    <row r="867" spans="1:2" x14ac:dyDescent="0.2">
      <c r="A867">
        <v>844</v>
      </c>
      <c r="B867" s="36">
        <v>42.847903190685102</v>
      </c>
    </row>
    <row r="868" spans="1:2" x14ac:dyDescent="0.2">
      <c r="A868">
        <v>845</v>
      </c>
      <c r="B868" s="36">
        <v>45.768120616196541</v>
      </c>
    </row>
    <row r="869" spans="1:2" x14ac:dyDescent="0.2">
      <c r="A869">
        <v>846</v>
      </c>
      <c r="B869" s="36">
        <v>39.22466946022022</v>
      </c>
    </row>
    <row r="870" spans="1:2" x14ac:dyDescent="0.2">
      <c r="A870">
        <v>847</v>
      </c>
      <c r="B870" s="36">
        <v>41.930920747896977</v>
      </c>
    </row>
    <row r="871" spans="1:2" x14ac:dyDescent="0.2">
      <c r="A871">
        <v>848</v>
      </c>
      <c r="B871" s="36">
        <v>44.679200577241019</v>
      </c>
    </row>
    <row r="872" spans="1:2" x14ac:dyDescent="0.2">
      <c r="A872">
        <v>849</v>
      </c>
      <c r="B872" s="36">
        <v>44.855730600700532</v>
      </c>
    </row>
    <row r="873" spans="1:2" x14ac:dyDescent="0.2">
      <c r="A873">
        <v>850</v>
      </c>
      <c r="B873" s="36">
        <v>42.922251191249607</v>
      </c>
    </row>
    <row r="874" spans="1:2" x14ac:dyDescent="0.2">
      <c r="A874">
        <v>851</v>
      </c>
      <c r="B874" s="36">
        <v>45.409343130482441</v>
      </c>
    </row>
    <row r="875" spans="1:2" x14ac:dyDescent="0.2">
      <c r="A875">
        <v>852</v>
      </c>
      <c r="B875" s="36">
        <v>41.297878001990831</v>
      </c>
    </row>
    <row r="876" spans="1:2" x14ac:dyDescent="0.2">
      <c r="A876">
        <v>853</v>
      </c>
      <c r="B876" s="36">
        <v>43.365500390612802</v>
      </c>
    </row>
    <row r="877" spans="1:2" x14ac:dyDescent="0.2">
      <c r="A877">
        <v>854</v>
      </c>
      <c r="B877" s="36">
        <v>34.48885532486122</v>
      </c>
    </row>
    <row r="878" spans="1:2" x14ac:dyDescent="0.2">
      <c r="A878">
        <v>855</v>
      </c>
      <c r="B878" s="36">
        <v>50.495032066766626</v>
      </c>
    </row>
    <row r="879" spans="1:2" x14ac:dyDescent="0.2">
      <c r="A879">
        <v>856</v>
      </c>
      <c r="B879" s="36">
        <v>45.089082267202095</v>
      </c>
    </row>
    <row r="880" spans="1:2" x14ac:dyDescent="0.2">
      <c r="A880">
        <v>857</v>
      </c>
      <c r="B880" s="36">
        <v>41.389588102151414</v>
      </c>
    </row>
    <row r="881" spans="1:2" x14ac:dyDescent="0.2">
      <c r="A881">
        <v>858</v>
      </c>
      <c r="B881" s="36">
        <v>42.263771523668417</v>
      </c>
    </row>
    <row r="882" spans="1:2" x14ac:dyDescent="0.2">
      <c r="A882">
        <v>859</v>
      </c>
      <c r="B882" s="36">
        <v>49.673047220999528</v>
      </c>
    </row>
    <row r="883" spans="1:2" x14ac:dyDescent="0.2">
      <c r="A883">
        <v>860</v>
      </c>
      <c r="B883" s="36">
        <v>33.522080247348683</v>
      </c>
    </row>
    <row r="884" spans="1:2" x14ac:dyDescent="0.2">
      <c r="A884">
        <v>861</v>
      </c>
      <c r="B884" s="36">
        <v>40.038201395666228</v>
      </c>
    </row>
    <row r="885" spans="1:2" x14ac:dyDescent="0.2">
      <c r="A885">
        <v>862</v>
      </c>
      <c r="B885" s="36">
        <v>41.596297288929009</v>
      </c>
    </row>
    <row r="886" spans="1:2" x14ac:dyDescent="0.2">
      <c r="A886">
        <v>863</v>
      </c>
      <c r="B886" s="36">
        <v>38.226581334142566</v>
      </c>
    </row>
    <row r="887" spans="1:2" x14ac:dyDescent="0.2">
      <c r="A887">
        <v>864</v>
      </c>
      <c r="B887" s="36">
        <v>75.196748516174338</v>
      </c>
    </row>
    <row r="888" spans="1:2" x14ac:dyDescent="0.2">
      <c r="A888">
        <v>865</v>
      </c>
      <c r="B888" s="36">
        <v>49.101394100854158</v>
      </c>
    </row>
    <row r="889" spans="1:2" x14ac:dyDescent="0.2">
      <c r="A889">
        <v>866</v>
      </c>
      <c r="B889" s="36">
        <v>52.365290332364538</v>
      </c>
    </row>
    <row r="890" spans="1:2" x14ac:dyDescent="0.2">
      <c r="A890">
        <v>867</v>
      </c>
      <c r="B890" s="36">
        <v>46.005649143730416</v>
      </c>
    </row>
    <row r="891" spans="1:2" x14ac:dyDescent="0.2">
      <c r="A891">
        <v>868</v>
      </c>
      <c r="B891" s="36">
        <v>45.40414051803436</v>
      </c>
    </row>
    <row r="892" spans="1:2" x14ac:dyDescent="0.2">
      <c r="A892">
        <v>869</v>
      </c>
      <c r="B892" s="36">
        <v>36.443764230523016</v>
      </c>
    </row>
    <row r="893" spans="1:2" x14ac:dyDescent="0.2">
      <c r="A893">
        <v>870</v>
      </c>
      <c r="B893" s="36">
        <v>51.855433070470781</v>
      </c>
    </row>
    <row r="894" spans="1:2" x14ac:dyDescent="0.2">
      <c r="A894">
        <v>871</v>
      </c>
      <c r="B894" s="36">
        <v>40.759234222053422</v>
      </c>
    </row>
    <row r="895" spans="1:2" x14ac:dyDescent="0.2">
      <c r="A895">
        <v>872</v>
      </c>
      <c r="B895" s="36">
        <v>37.771300898462918</v>
      </c>
    </row>
    <row r="896" spans="1:2" x14ac:dyDescent="0.2">
      <c r="A896">
        <v>873</v>
      </c>
      <c r="B896" s="36">
        <v>37.257284134072663</v>
      </c>
    </row>
    <row r="897" spans="1:2" x14ac:dyDescent="0.2">
      <c r="A897">
        <v>874</v>
      </c>
      <c r="B897" s="36">
        <v>55.467482831006429</v>
      </c>
    </row>
    <row r="898" spans="1:2" x14ac:dyDescent="0.2">
      <c r="A898">
        <v>875</v>
      </c>
      <c r="B898" s="36">
        <v>47.563844601517999</v>
      </c>
    </row>
    <row r="899" spans="1:2" x14ac:dyDescent="0.2">
      <c r="A899">
        <v>876</v>
      </c>
      <c r="B899" s="36">
        <v>46.106272452944772</v>
      </c>
    </row>
    <row r="900" spans="1:2" x14ac:dyDescent="0.2">
      <c r="A900">
        <v>877</v>
      </c>
      <c r="B900" s="36">
        <v>34.565809393574391</v>
      </c>
    </row>
    <row r="901" spans="1:2" x14ac:dyDescent="0.2">
      <c r="A901">
        <v>878</v>
      </c>
      <c r="B901" s="36">
        <v>36.2032353310628</v>
      </c>
    </row>
    <row r="902" spans="1:2" x14ac:dyDescent="0.2">
      <c r="A902">
        <v>879</v>
      </c>
      <c r="B902" s="36">
        <v>48.844871564434442</v>
      </c>
    </row>
    <row r="903" spans="1:2" x14ac:dyDescent="0.2">
      <c r="A903">
        <v>880</v>
      </c>
      <c r="B903" s="36">
        <v>43.974895069175687</v>
      </c>
    </row>
    <row r="904" spans="1:2" x14ac:dyDescent="0.2">
      <c r="A904">
        <v>881</v>
      </c>
      <c r="B904" s="36">
        <v>61.18835545233005</v>
      </c>
    </row>
    <row r="905" spans="1:2" x14ac:dyDescent="0.2">
      <c r="A905">
        <v>882</v>
      </c>
      <c r="B905" s="36">
        <v>42.277543002255285</v>
      </c>
    </row>
    <row r="906" spans="1:2" x14ac:dyDescent="0.2">
      <c r="A906">
        <v>883</v>
      </c>
      <c r="B906" s="36">
        <v>43.868234806319826</v>
      </c>
    </row>
    <row r="907" spans="1:2" x14ac:dyDescent="0.2">
      <c r="A907">
        <v>884</v>
      </c>
      <c r="B907" s="36">
        <v>34.61909667202525</v>
      </c>
    </row>
    <row r="908" spans="1:2" x14ac:dyDescent="0.2">
      <c r="A908">
        <v>885</v>
      </c>
      <c r="B908" s="36">
        <v>50.708791984561572</v>
      </c>
    </row>
    <row r="909" spans="1:2" x14ac:dyDescent="0.2">
      <c r="A909">
        <v>886</v>
      </c>
      <c r="B909" s="36">
        <v>33.054541955138482</v>
      </c>
    </row>
    <row r="910" spans="1:2" x14ac:dyDescent="0.2">
      <c r="A910">
        <v>887</v>
      </c>
      <c r="B910" s="36">
        <v>41.191526715647534</v>
      </c>
    </row>
    <row r="911" spans="1:2" x14ac:dyDescent="0.2">
      <c r="A911">
        <v>888</v>
      </c>
      <c r="B911" s="36">
        <v>42.580367615197488</v>
      </c>
    </row>
    <row r="912" spans="1:2" x14ac:dyDescent="0.2">
      <c r="A912">
        <v>889</v>
      </c>
      <c r="B912" s="36">
        <v>43.186455391141564</v>
      </c>
    </row>
    <row r="913" spans="1:2" x14ac:dyDescent="0.2">
      <c r="A913">
        <v>890</v>
      </c>
      <c r="B913" s="36">
        <v>37.856096046839816</v>
      </c>
    </row>
    <row r="914" spans="1:2" x14ac:dyDescent="0.2">
      <c r="A914">
        <v>891</v>
      </c>
      <c r="B914" s="36">
        <v>47.253291795680248</v>
      </c>
    </row>
    <row r="915" spans="1:2" x14ac:dyDescent="0.2">
      <c r="A915">
        <v>892</v>
      </c>
      <c r="B915" s="36">
        <v>42.16062951276254</v>
      </c>
    </row>
    <row r="916" spans="1:2" x14ac:dyDescent="0.2">
      <c r="A916">
        <v>893</v>
      </c>
      <c r="B916" s="36">
        <v>36.882308556480965</v>
      </c>
    </row>
    <row r="917" spans="1:2" x14ac:dyDescent="0.2">
      <c r="A917">
        <v>894</v>
      </c>
      <c r="B917" s="36">
        <v>38.241223949281618</v>
      </c>
    </row>
    <row r="918" spans="1:2" x14ac:dyDescent="0.2">
      <c r="A918">
        <v>895</v>
      </c>
      <c r="B918" s="36">
        <v>49.148152312835009</v>
      </c>
    </row>
    <row r="919" spans="1:2" x14ac:dyDescent="0.2">
      <c r="A919">
        <v>896</v>
      </c>
      <c r="B919" s="36">
        <v>42.398411901158099</v>
      </c>
    </row>
    <row r="920" spans="1:2" x14ac:dyDescent="0.2">
      <c r="A920">
        <v>897</v>
      </c>
      <c r="B920" s="36">
        <v>39.509379944254583</v>
      </c>
    </row>
    <row r="921" spans="1:2" x14ac:dyDescent="0.2">
      <c r="A921">
        <v>898</v>
      </c>
      <c r="B921" s="36">
        <v>41.416937162472365</v>
      </c>
    </row>
    <row r="922" spans="1:2" x14ac:dyDescent="0.2">
      <c r="A922">
        <v>899</v>
      </c>
      <c r="B922" s="36">
        <v>54.625907925886509</v>
      </c>
    </row>
    <row r="923" spans="1:2" x14ac:dyDescent="0.2">
      <c r="A923">
        <v>900</v>
      </c>
      <c r="B923" s="36">
        <v>39.626203982928374</v>
      </c>
    </row>
    <row r="924" spans="1:2" x14ac:dyDescent="0.2">
      <c r="A924">
        <v>901</v>
      </c>
      <c r="B924" s="36">
        <v>35.694678129956962</v>
      </c>
    </row>
    <row r="925" spans="1:2" x14ac:dyDescent="0.2">
      <c r="A925">
        <v>902</v>
      </c>
      <c r="B925" s="36">
        <v>39.637847795725548</v>
      </c>
    </row>
    <row r="926" spans="1:2" x14ac:dyDescent="0.2">
      <c r="A926">
        <v>903</v>
      </c>
      <c r="B926" s="36">
        <v>45.515720553743172</v>
      </c>
    </row>
    <row r="927" spans="1:2" x14ac:dyDescent="0.2">
      <c r="A927">
        <v>904</v>
      </c>
      <c r="B927" s="36">
        <v>42.579898221908564</v>
      </c>
    </row>
    <row r="928" spans="1:2" x14ac:dyDescent="0.2">
      <c r="A928">
        <v>905</v>
      </c>
      <c r="B928" s="36">
        <v>39.810430449356247</v>
      </c>
    </row>
    <row r="929" spans="1:2" x14ac:dyDescent="0.2">
      <c r="A929">
        <v>906</v>
      </c>
      <c r="B929" s="36">
        <v>45.119685824620589</v>
      </c>
    </row>
    <row r="930" spans="1:2" x14ac:dyDescent="0.2">
      <c r="A930">
        <v>907</v>
      </c>
      <c r="B930" s="36">
        <v>32.385835186300113</v>
      </c>
    </row>
    <row r="931" spans="1:2" x14ac:dyDescent="0.2">
      <c r="A931">
        <v>908</v>
      </c>
      <c r="B931" s="36">
        <v>37.080122868842359</v>
      </c>
    </row>
    <row r="932" spans="1:2" x14ac:dyDescent="0.2">
      <c r="A932">
        <v>909</v>
      </c>
      <c r="B932" s="36">
        <v>41.799711296539662</v>
      </c>
    </row>
    <row r="933" spans="1:2" x14ac:dyDescent="0.2">
      <c r="A933">
        <v>910</v>
      </c>
      <c r="B933" s="36">
        <v>45.195390210807304</v>
      </c>
    </row>
    <row r="934" spans="1:2" x14ac:dyDescent="0.2">
      <c r="A934">
        <v>911</v>
      </c>
      <c r="B934" s="36">
        <v>34.724962604198765</v>
      </c>
    </row>
    <row r="935" spans="1:2" x14ac:dyDescent="0.2">
      <c r="A935">
        <v>912</v>
      </c>
      <c r="B935" s="36">
        <v>42.914794739903435</v>
      </c>
    </row>
    <row r="936" spans="1:2" x14ac:dyDescent="0.2">
      <c r="A936">
        <v>913</v>
      </c>
      <c r="B936" s="36">
        <v>36.478498592109531</v>
      </c>
    </row>
    <row r="937" spans="1:2" x14ac:dyDescent="0.2">
      <c r="A937">
        <v>914</v>
      </c>
      <c r="B937" s="36">
        <v>45.950264550881975</v>
      </c>
    </row>
    <row r="938" spans="1:2" x14ac:dyDescent="0.2">
      <c r="A938">
        <v>915</v>
      </c>
      <c r="B938" s="36">
        <v>36.465524942105134</v>
      </c>
    </row>
    <row r="939" spans="1:2" x14ac:dyDescent="0.2">
      <c r="A939">
        <v>916</v>
      </c>
      <c r="B939" s="36">
        <v>49.400888279482551</v>
      </c>
    </row>
    <row r="940" spans="1:2" x14ac:dyDescent="0.2">
      <c r="A940">
        <v>917</v>
      </c>
      <c r="B940" s="36">
        <v>63.759973248610365</v>
      </c>
    </row>
    <row r="941" spans="1:2" x14ac:dyDescent="0.2">
      <c r="A941">
        <v>918</v>
      </c>
      <c r="B941" s="36">
        <v>41.599508511914415</v>
      </c>
    </row>
    <row r="942" spans="1:2" x14ac:dyDescent="0.2">
      <c r="A942">
        <v>919</v>
      </c>
      <c r="B942" s="36">
        <v>42.456801700652129</v>
      </c>
    </row>
    <row r="943" spans="1:2" x14ac:dyDescent="0.2">
      <c r="A943">
        <v>920</v>
      </c>
      <c r="B943" s="36">
        <v>40.681661395025237</v>
      </c>
    </row>
    <row r="944" spans="1:2" x14ac:dyDescent="0.2">
      <c r="A944">
        <v>921</v>
      </c>
      <c r="B944" s="36">
        <v>35.751255355074953</v>
      </c>
    </row>
    <row r="945" spans="1:2" x14ac:dyDescent="0.2">
      <c r="A945">
        <v>922</v>
      </c>
      <c r="B945" s="36">
        <v>40.847643158081674</v>
      </c>
    </row>
    <row r="946" spans="1:2" x14ac:dyDescent="0.2">
      <c r="A946">
        <v>923</v>
      </c>
      <c r="B946" s="36">
        <v>53.669561526369378</v>
      </c>
    </row>
    <row r="947" spans="1:2" x14ac:dyDescent="0.2">
      <c r="A947">
        <v>924</v>
      </c>
      <c r="B947" s="36">
        <v>33.80090143387423</v>
      </c>
    </row>
    <row r="948" spans="1:2" x14ac:dyDescent="0.2">
      <c r="A948">
        <v>925</v>
      </c>
      <c r="B948" s="36">
        <v>44.159091233333001</v>
      </c>
    </row>
    <row r="949" spans="1:2" x14ac:dyDescent="0.2">
      <c r="A949">
        <v>926</v>
      </c>
      <c r="B949" s="36">
        <v>35.720723856348982</v>
      </c>
    </row>
    <row r="950" spans="1:2" x14ac:dyDescent="0.2">
      <c r="A950">
        <v>927</v>
      </c>
      <c r="B950" s="36">
        <v>39.981611716988802</v>
      </c>
    </row>
    <row r="951" spans="1:2" x14ac:dyDescent="0.2">
      <c r="A951">
        <v>928</v>
      </c>
      <c r="B951" s="36">
        <v>43.930481498224374</v>
      </c>
    </row>
    <row r="952" spans="1:2" x14ac:dyDescent="0.2">
      <c r="A952">
        <v>929</v>
      </c>
      <c r="B952" s="36">
        <v>39.661246572676959</v>
      </c>
    </row>
    <row r="953" spans="1:2" x14ac:dyDescent="0.2">
      <c r="A953">
        <v>930</v>
      </c>
      <c r="B953" s="36">
        <v>36.898968008779377</v>
      </c>
    </row>
    <row r="954" spans="1:2" x14ac:dyDescent="0.2">
      <c r="A954">
        <v>931</v>
      </c>
      <c r="B954" s="36">
        <v>43.110311628324112</v>
      </c>
    </row>
    <row r="955" spans="1:2" x14ac:dyDescent="0.2">
      <c r="A955">
        <v>932</v>
      </c>
      <c r="B955" s="36">
        <v>41.748224269045743</v>
      </c>
    </row>
    <row r="956" spans="1:2" x14ac:dyDescent="0.2">
      <c r="A956">
        <v>933</v>
      </c>
      <c r="B956" s="36">
        <v>40.24867408782756</v>
      </c>
    </row>
    <row r="957" spans="1:2" x14ac:dyDescent="0.2">
      <c r="A957">
        <v>934</v>
      </c>
      <c r="B957" s="36">
        <v>47.144304267667316</v>
      </c>
    </row>
    <row r="958" spans="1:2" x14ac:dyDescent="0.2">
      <c r="A958">
        <v>935</v>
      </c>
      <c r="B958" s="36">
        <v>38.762559718906893</v>
      </c>
    </row>
    <row r="959" spans="1:2" x14ac:dyDescent="0.2">
      <c r="A959">
        <v>936</v>
      </c>
      <c r="B959" s="36">
        <v>35.887181766739921</v>
      </c>
    </row>
    <row r="960" spans="1:2" x14ac:dyDescent="0.2">
      <c r="A960">
        <v>937</v>
      </c>
      <c r="B960" s="36">
        <v>41.374217341010826</v>
      </c>
    </row>
    <row r="961" spans="1:2" x14ac:dyDescent="0.2">
      <c r="A961">
        <v>938</v>
      </c>
      <c r="B961" s="36">
        <v>43.141411678782781</v>
      </c>
    </row>
    <row r="962" spans="1:2" x14ac:dyDescent="0.2">
      <c r="A962">
        <v>939</v>
      </c>
      <c r="B962" s="36">
        <v>40.235247625236745</v>
      </c>
    </row>
    <row r="963" spans="1:2" x14ac:dyDescent="0.2">
      <c r="A963">
        <v>940</v>
      </c>
      <c r="B963" s="36">
        <v>36.205692787336417</v>
      </c>
    </row>
    <row r="964" spans="1:2" x14ac:dyDescent="0.2">
      <c r="A964">
        <v>941</v>
      </c>
      <c r="B964" s="36">
        <v>36.770003582739974</v>
      </c>
    </row>
    <row r="965" spans="1:2" x14ac:dyDescent="0.2">
      <c r="A965">
        <v>942</v>
      </c>
      <c r="B965" s="36">
        <v>49.427871433286619</v>
      </c>
    </row>
    <row r="966" spans="1:2" x14ac:dyDescent="0.2">
      <c r="A966">
        <v>943</v>
      </c>
      <c r="B966" s="36">
        <v>39.213963298660424</v>
      </c>
    </row>
    <row r="967" spans="1:2" x14ac:dyDescent="0.2">
      <c r="A967">
        <v>944</v>
      </c>
      <c r="B967" s="36">
        <v>35.884784973729964</v>
      </c>
    </row>
    <row r="968" spans="1:2" x14ac:dyDescent="0.2">
      <c r="A968">
        <v>945</v>
      </c>
      <c r="B968" s="36">
        <v>44.198088027911908</v>
      </c>
    </row>
    <row r="969" spans="1:2" x14ac:dyDescent="0.2">
      <c r="A969">
        <v>946</v>
      </c>
      <c r="B969" s="36">
        <v>38.292586077694985</v>
      </c>
    </row>
    <row r="970" spans="1:2" x14ac:dyDescent="0.2">
      <c r="A970">
        <v>947</v>
      </c>
      <c r="B970" s="36">
        <v>44.280683049738457</v>
      </c>
    </row>
    <row r="971" spans="1:2" x14ac:dyDescent="0.2">
      <c r="A971">
        <v>948</v>
      </c>
      <c r="B971" s="36">
        <v>44.704844045943361</v>
      </c>
    </row>
    <row r="972" spans="1:2" x14ac:dyDescent="0.2">
      <c r="A972">
        <v>949</v>
      </c>
      <c r="B972" s="36">
        <v>44.185605920411447</v>
      </c>
    </row>
    <row r="973" spans="1:2" x14ac:dyDescent="0.2">
      <c r="A973">
        <v>950</v>
      </c>
      <c r="B973" s="36">
        <v>44.783771786516738</v>
      </c>
    </row>
    <row r="974" spans="1:2" x14ac:dyDescent="0.2">
      <c r="A974">
        <v>951</v>
      </c>
      <c r="B974" s="36">
        <v>39.736228079466301</v>
      </c>
    </row>
    <row r="975" spans="1:2" x14ac:dyDescent="0.2">
      <c r="A975">
        <v>952</v>
      </c>
      <c r="B975" s="36">
        <v>31.558635166522908</v>
      </c>
    </row>
    <row r="976" spans="1:2" x14ac:dyDescent="0.2">
      <c r="A976">
        <v>953</v>
      </c>
      <c r="B976" s="36">
        <v>36.454663362278019</v>
      </c>
    </row>
    <row r="977" spans="1:2" x14ac:dyDescent="0.2">
      <c r="A977">
        <v>954</v>
      </c>
      <c r="B977" s="36">
        <v>33.360045328890926</v>
      </c>
    </row>
    <row r="978" spans="1:2" x14ac:dyDescent="0.2">
      <c r="A978">
        <v>955</v>
      </c>
      <c r="B978" s="36">
        <v>55.540786452288181</v>
      </c>
    </row>
    <row r="979" spans="1:2" x14ac:dyDescent="0.2">
      <c r="A979">
        <v>956</v>
      </c>
      <c r="B979" s="36">
        <v>42.330426389200724</v>
      </c>
    </row>
    <row r="980" spans="1:2" x14ac:dyDescent="0.2">
      <c r="A980">
        <v>957</v>
      </c>
      <c r="B980" s="36">
        <v>41.889806017315834</v>
      </c>
    </row>
    <row r="981" spans="1:2" x14ac:dyDescent="0.2">
      <c r="A981">
        <v>958</v>
      </c>
      <c r="B981" s="36">
        <v>68.745218088816074</v>
      </c>
    </row>
    <row r="982" spans="1:2" x14ac:dyDescent="0.2">
      <c r="A982">
        <v>959</v>
      </c>
      <c r="B982" s="36">
        <v>38.740370148793723</v>
      </c>
    </row>
    <row r="983" spans="1:2" x14ac:dyDescent="0.2">
      <c r="A983">
        <v>960</v>
      </c>
      <c r="B983" s="36">
        <v>59.712568549769202</v>
      </c>
    </row>
    <row r="984" spans="1:2" x14ac:dyDescent="0.2">
      <c r="A984">
        <v>961</v>
      </c>
      <c r="B984" s="36">
        <v>52.873195082429312</v>
      </c>
    </row>
    <row r="985" spans="1:2" x14ac:dyDescent="0.2">
      <c r="A985">
        <v>962</v>
      </c>
      <c r="B985" s="36">
        <v>52.838782112750152</v>
      </c>
    </row>
    <row r="986" spans="1:2" x14ac:dyDescent="0.2">
      <c r="A986">
        <v>963</v>
      </c>
      <c r="B986" s="36">
        <v>44.379452211086829</v>
      </c>
    </row>
    <row r="987" spans="1:2" x14ac:dyDescent="0.2">
      <c r="A987">
        <v>964</v>
      </c>
      <c r="B987" s="36">
        <v>38.511248980629532</v>
      </c>
    </row>
    <row r="988" spans="1:2" x14ac:dyDescent="0.2">
      <c r="A988">
        <v>965</v>
      </c>
      <c r="B988" s="36">
        <v>41.676417271438616</v>
      </c>
    </row>
    <row r="989" spans="1:2" x14ac:dyDescent="0.2">
      <c r="A989">
        <v>966</v>
      </c>
      <c r="B989" s="36">
        <v>49.385776494407274</v>
      </c>
    </row>
    <row r="990" spans="1:2" x14ac:dyDescent="0.2">
      <c r="A990">
        <v>967</v>
      </c>
      <c r="B990" s="36">
        <v>42.165825918428069</v>
      </c>
    </row>
    <row r="991" spans="1:2" x14ac:dyDescent="0.2">
      <c r="A991">
        <v>968</v>
      </c>
      <c r="B991" s="36">
        <v>34.722543980648595</v>
      </c>
    </row>
    <row r="992" spans="1:2" x14ac:dyDescent="0.2">
      <c r="A992">
        <v>969</v>
      </c>
      <c r="B992" s="36">
        <v>40.001086356734078</v>
      </c>
    </row>
    <row r="993" spans="1:2" x14ac:dyDescent="0.2">
      <c r="A993">
        <v>970</v>
      </c>
      <c r="B993" s="36">
        <v>65.180641812155912</v>
      </c>
    </row>
    <row r="994" spans="1:2" x14ac:dyDescent="0.2">
      <c r="A994">
        <v>971</v>
      </c>
      <c r="B994" s="36">
        <v>45.517048765421812</v>
      </c>
    </row>
    <row r="995" spans="1:2" x14ac:dyDescent="0.2">
      <c r="A995">
        <v>972</v>
      </c>
      <c r="B995" s="36">
        <v>38.313574040859862</v>
      </c>
    </row>
    <row r="996" spans="1:2" x14ac:dyDescent="0.2">
      <c r="A996">
        <v>973</v>
      </c>
      <c r="B996" s="36">
        <v>36.799777616586425</v>
      </c>
    </row>
    <row r="997" spans="1:2" x14ac:dyDescent="0.2">
      <c r="A997">
        <v>974</v>
      </c>
      <c r="B997" s="36">
        <v>47.484271786477009</v>
      </c>
    </row>
    <row r="998" spans="1:2" x14ac:dyDescent="0.2">
      <c r="A998">
        <v>975</v>
      </c>
      <c r="B998" s="36">
        <v>44.149504339670642</v>
      </c>
    </row>
    <row r="999" spans="1:2" x14ac:dyDescent="0.2">
      <c r="A999">
        <v>976</v>
      </c>
      <c r="B999" s="36">
        <v>37.847338682747434</v>
      </c>
    </row>
    <row r="1000" spans="1:2" x14ac:dyDescent="0.2">
      <c r="A1000">
        <v>977</v>
      </c>
      <c r="B1000" s="36">
        <v>41.44241798009385</v>
      </c>
    </row>
    <row r="1001" spans="1:2" x14ac:dyDescent="0.2">
      <c r="A1001">
        <v>978</v>
      </c>
      <c r="B1001" s="36">
        <v>37.599371558800712</v>
      </c>
    </row>
    <row r="1002" spans="1:2" x14ac:dyDescent="0.2">
      <c r="A1002">
        <v>979</v>
      </c>
      <c r="B1002" s="36">
        <v>41.484898175474697</v>
      </c>
    </row>
    <row r="1003" spans="1:2" x14ac:dyDescent="0.2">
      <c r="A1003">
        <v>980</v>
      </c>
      <c r="B1003" s="36">
        <v>37.220611118155468</v>
      </c>
    </row>
    <row r="1004" spans="1:2" x14ac:dyDescent="0.2">
      <c r="A1004">
        <v>981</v>
      </c>
      <c r="B1004" s="36">
        <v>44.62734166695283</v>
      </c>
    </row>
    <row r="1005" spans="1:2" x14ac:dyDescent="0.2">
      <c r="A1005">
        <v>982</v>
      </c>
      <c r="B1005" s="36">
        <v>45.133805470134774</v>
      </c>
    </row>
    <row r="1006" spans="1:2" x14ac:dyDescent="0.2">
      <c r="A1006">
        <v>983</v>
      </c>
      <c r="B1006" s="36">
        <v>36.578762556515422</v>
      </c>
    </row>
    <row r="1007" spans="1:2" x14ac:dyDescent="0.2">
      <c r="A1007">
        <v>984</v>
      </c>
      <c r="B1007" s="36">
        <v>41.618371162651279</v>
      </c>
    </row>
    <row r="1008" spans="1:2" x14ac:dyDescent="0.2">
      <c r="A1008">
        <v>985</v>
      </c>
      <c r="B1008" s="36">
        <v>48.902158829302856</v>
      </c>
    </row>
    <row r="1009" spans="1:2" x14ac:dyDescent="0.2">
      <c r="A1009">
        <v>986</v>
      </c>
      <c r="B1009" s="36">
        <v>39.559200221361216</v>
      </c>
    </row>
    <row r="1010" spans="1:2" x14ac:dyDescent="0.2">
      <c r="A1010">
        <v>987</v>
      </c>
      <c r="B1010" s="36">
        <v>40.353516557346396</v>
      </c>
    </row>
    <row r="1011" spans="1:2" x14ac:dyDescent="0.2">
      <c r="A1011">
        <v>988</v>
      </c>
      <c r="B1011" s="36">
        <v>38.167353976119465</v>
      </c>
    </row>
    <row r="1012" spans="1:2" x14ac:dyDescent="0.2">
      <c r="A1012">
        <v>989</v>
      </c>
      <c r="B1012" s="36">
        <v>38.442626607527593</v>
      </c>
    </row>
    <row r="1013" spans="1:2" x14ac:dyDescent="0.2">
      <c r="A1013">
        <v>990</v>
      </c>
      <c r="B1013" s="36">
        <v>34.673559267454834</v>
      </c>
    </row>
    <row r="1014" spans="1:2" x14ac:dyDescent="0.2">
      <c r="A1014">
        <v>991</v>
      </c>
      <c r="B1014" s="36">
        <v>45.503578000054702</v>
      </c>
    </row>
    <row r="1015" spans="1:2" x14ac:dyDescent="0.2">
      <c r="A1015">
        <v>992</v>
      </c>
      <c r="B1015" s="36">
        <v>40.460311495839321</v>
      </c>
    </row>
    <row r="1016" spans="1:2" x14ac:dyDescent="0.2">
      <c r="A1016">
        <v>993</v>
      </c>
      <c r="B1016" s="36">
        <v>46.004885309171172</v>
      </c>
    </row>
    <row r="1017" spans="1:2" x14ac:dyDescent="0.2">
      <c r="A1017">
        <v>994</v>
      </c>
      <c r="B1017" s="36">
        <v>42.611311303687586</v>
      </c>
    </row>
    <row r="1018" spans="1:2" x14ac:dyDescent="0.2">
      <c r="A1018">
        <v>995</v>
      </c>
      <c r="B1018" s="36">
        <v>36.451362221761684</v>
      </c>
    </row>
    <row r="1019" spans="1:2" x14ac:dyDescent="0.2">
      <c r="A1019">
        <v>996</v>
      </c>
      <c r="B1019" s="36">
        <v>33.608289477615109</v>
      </c>
    </row>
    <row r="1020" spans="1:2" x14ac:dyDescent="0.2">
      <c r="A1020">
        <v>997</v>
      </c>
      <c r="B1020" s="36">
        <v>38.316898010581085</v>
      </c>
    </row>
    <row r="1021" spans="1:2" x14ac:dyDescent="0.2">
      <c r="A1021">
        <v>998</v>
      </c>
      <c r="B1021" s="36">
        <v>41.104202876430897</v>
      </c>
    </row>
    <row r="1022" spans="1:2" x14ac:dyDescent="0.2">
      <c r="A1022">
        <v>999</v>
      </c>
      <c r="B1022" s="36">
        <v>36.006716786970927</v>
      </c>
    </row>
    <row r="1023" spans="1:2" x14ac:dyDescent="0.2">
      <c r="A1023">
        <v>1000</v>
      </c>
      <c r="B1023" s="36">
        <v>41.874799402451174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8EA99-9458-0F45-A60F-3DB57A7CF422}">
  <dimension ref="A1:K24"/>
  <sheetViews>
    <sheetView zoomScale="164" workbookViewId="0">
      <selection activeCell="B19" sqref="B19:G24"/>
    </sheetView>
  </sheetViews>
  <sheetFormatPr baseColWidth="10" defaultRowHeight="16" x14ac:dyDescent="0.2"/>
  <cols>
    <col min="1" max="1" width="28" customWidth="1"/>
    <col min="2" max="2" width="12.33203125" bestFit="1" customWidth="1"/>
    <col min="10" max="10" width="11.6640625" bestFit="1" customWidth="1"/>
  </cols>
  <sheetData>
    <row r="1" spans="1:11" x14ac:dyDescent="0.2">
      <c r="A1" s="14" t="s">
        <v>71</v>
      </c>
      <c r="B1" s="20">
        <v>9.3926279467445001E-2</v>
      </c>
    </row>
    <row r="2" spans="1:11" x14ac:dyDescent="0.2">
      <c r="A2" s="14" t="s">
        <v>70</v>
      </c>
      <c r="B2" s="16">
        <v>5.3518046784589934E-2</v>
      </c>
    </row>
    <row r="3" spans="1:11" x14ac:dyDescent="0.2">
      <c r="A3" s="14" t="s">
        <v>98</v>
      </c>
      <c r="B3" s="16">
        <v>0.1108</v>
      </c>
    </row>
    <row r="4" spans="1:11" x14ac:dyDescent="0.2">
      <c r="A4" s="14" t="s">
        <v>96</v>
      </c>
      <c r="B4" s="38">
        <v>882646</v>
      </c>
    </row>
    <row r="5" spans="1:11" x14ac:dyDescent="0.2">
      <c r="A5" s="14" t="s">
        <v>95</v>
      </c>
      <c r="B5" s="15">
        <f>1129931+527173</f>
        <v>1657104</v>
      </c>
    </row>
    <row r="7" spans="1:11" x14ac:dyDescent="0.2">
      <c r="B7">
        <v>0</v>
      </c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</row>
    <row r="8" spans="1:11" x14ac:dyDescent="0.2">
      <c r="A8" t="s">
        <v>68</v>
      </c>
      <c r="B8" s="18">
        <v>172123</v>
      </c>
      <c r="C8" s="18">
        <v>144460.07347027096</v>
      </c>
      <c r="D8" s="18">
        <v>213970.12500862975</v>
      </c>
      <c r="E8" s="18">
        <v>233467.88872310636</v>
      </c>
      <c r="F8" s="18">
        <v>255061.57402938639</v>
      </c>
      <c r="G8" s="18">
        <v>277713.76442242181</v>
      </c>
      <c r="H8" s="18">
        <v>297982.716961639</v>
      </c>
      <c r="I8" s="18">
        <v>323052.75930063438</v>
      </c>
      <c r="J8" s="18">
        <v>344665.77610804467</v>
      </c>
      <c r="K8" s="18">
        <f>J8*(1+B2)</f>
        <v>363111.61523884197</v>
      </c>
    </row>
    <row r="9" spans="1:11" x14ac:dyDescent="0.2">
      <c r="A9" t="s">
        <v>64</v>
      </c>
      <c r="B9" s="18"/>
      <c r="C9" s="18"/>
      <c r="D9" s="18"/>
      <c r="E9" s="18"/>
      <c r="F9" s="18"/>
      <c r="G9" s="18"/>
      <c r="H9" s="18"/>
      <c r="I9" s="18"/>
      <c r="J9" s="18">
        <f>K8/(B1-B2)</f>
        <v>8986080.0913697891</v>
      </c>
    </row>
    <row r="10" spans="1:11" x14ac:dyDescent="0.2">
      <c r="A10" t="s">
        <v>69</v>
      </c>
      <c r="B10" s="18"/>
      <c r="C10" s="18">
        <f>SUM(C8:C9)/((1+$B$1)^C7)</f>
        <v>132056.49793932945</v>
      </c>
      <c r="D10" s="18">
        <f t="shared" ref="D10:J10" si="0">SUM(D8:D9)/((1+$B$1)^D7)</f>
        <v>178803.91733091237</v>
      </c>
      <c r="E10" s="18">
        <f t="shared" si="0"/>
        <v>178345.84231982811</v>
      </c>
      <c r="F10" s="18">
        <f t="shared" si="0"/>
        <v>178111.84947411215</v>
      </c>
      <c r="G10" s="18">
        <f t="shared" si="0"/>
        <v>177278.93239015993</v>
      </c>
      <c r="H10" s="18">
        <f t="shared" si="0"/>
        <v>173885.24932824305</v>
      </c>
      <c r="I10" s="18">
        <f t="shared" si="0"/>
        <v>172328.48342756741</v>
      </c>
      <c r="J10" s="18">
        <f t="shared" si="0"/>
        <v>4550005.4491219372</v>
      </c>
    </row>
    <row r="12" spans="1:11" x14ac:dyDescent="0.2">
      <c r="A12" t="s">
        <v>65</v>
      </c>
      <c r="B12" s="40">
        <f>B8+SUM(C10:J10)+SUM('Valuing Associates &amp; JVs'!H2:H22)</f>
        <v>7328154.6378320903</v>
      </c>
    </row>
    <row r="13" spans="1:11" x14ac:dyDescent="0.2">
      <c r="A13" t="s">
        <v>94</v>
      </c>
      <c r="B13" s="41">
        <f>B12+B4-B5</f>
        <v>6553696.6378320903</v>
      </c>
    </row>
    <row r="14" spans="1:11" x14ac:dyDescent="0.2">
      <c r="A14" t="s">
        <v>93</v>
      </c>
      <c r="B14" s="46">
        <v>169930</v>
      </c>
    </row>
    <row r="15" spans="1:11" x14ac:dyDescent="0.2">
      <c r="A15" t="s">
        <v>97</v>
      </c>
      <c r="B15" s="44">
        <f>B13/B14</f>
        <v>38.567037237874949</v>
      </c>
    </row>
    <row r="16" spans="1:11" x14ac:dyDescent="0.2">
      <c r="A16" t="s">
        <v>100</v>
      </c>
      <c r="B16" s="44">
        <f>B15*(1+B3)^(232/365)</f>
        <v>41.230935335288727</v>
      </c>
    </row>
    <row r="17" spans="1:7" x14ac:dyDescent="0.2">
      <c r="A17" t="s">
        <v>101</v>
      </c>
      <c r="B17" s="45">
        <v>16.12</v>
      </c>
    </row>
    <row r="19" spans="1:7" x14ac:dyDescent="0.2">
      <c r="B19">
        <f>B17</f>
        <v>16.12</v>
      </c>
      <c r="C19" s="13">
        <v>7.0000000000000007E-2</v>
      </c>
      <c r="D19" s="13">
        <v>0.08</v>
      </c>
      <c r="E19" s="13">
        <v>0.09</v>
      </c>
      <c r="F19" s="13">
        <v>0.1</v>
      </c>
      <c r="G19" s="13">
        <v>0.11</v>
      </c>
    </row>
    <row r="20" spans="1:7" x14ac:dyDescent="0.2">
      <c r="B20" s="1">
        <v>0.01</v>
      </c>
    </row>
    <row r="21" spans="1:7" x14ac:dyDescent="0.2">
      <c r="B21" s="1">
        <v>0.02</v>
      </c>
    </row>
    <row r="22" spans="1:7" x14ac:dyDescent="0.2">
      <c r="B22" s="1">
        <v>0.03</v>
      </c>
    </row>
    <row r="23" spans="1:7" x14ac:dyDescent="0.2">
      <c r="B23" s="1">
        <v>0.04</v>
      </c>
    </row>
    <row r="24" spans="1:7" x14ac:dyDescent="0.2">
      <c r="B24" s="1">
        <v>0.05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723EB-75CC-6042-BC74-7628AB31F6E2}">
  <dimension ref="A1:I38"/>
  <sheetViews>
    <sheetView zoomScale="142" zoomScaleNormal="270" workbookViewId="0">
      <selection activeCell="H9" sqref="H9"/>
    </sheetView>
  </sheetViews>
  <sheetFormatPr baseColWidth="10" defaultRowHeight="16" x14ac:dyDescent="0.2"/>
  <cols>
    <col min="1" max="1" width="22.832031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88</v>
      </c>
      <c r="F1" t="s">
        <v>89</v>
      </c>
    </row>
    <row r="2" spans="1:6" x14ac:dyDescent="0.2">
      <c r="A2" s="31" t="s">
        <v>79</v>
      </c>
      <c r="B2" s="32">
        <v>16.64727238</v>
      </c>
      <c r="C2" s="33">
        <v>0.2371080589</v>
      </c>
      <c r="D2" s="34">
        <v>0.71</v>
      </c>
      <c r="E2" s="34">
        <f>$B$36+C2*$B$37+D2*$B$38</f>
        <v>26.934305017914745</v>
      </c>
      <c r="F2" s="35">
        <f>E2/B2-1</f>
        <v>0.61794102980339072</v>
      </c>
    </row>
    <row r="3" spans="1:6" x14ac:dyDescent="0.2">
      <c r="A3" s="26" t="s">
        <v>80</v>
      </c>
      <c r="B3" s="28">
        <v>62.027238179999998</v>
      </c>
      <c r="C3" s="27">
        <v>0.12972988129999999</v>
      </c>
      <c r="D3">
        <v>1.56</v>
      </c>
      <c r="E3">
        <f t="shared" ref="E3:E16" si="0">$B$36+C3*$B$37+D3*$B$38</f>
        <v>46.23322349843005</v>
      </c>
      <c r="F3" s="1"/>
    </row>
    <row r="4" spans="1:6" x14ac:dyDescent="0.2">
      <c r="A4" s="26" t="s">
        <v>81</v>
      </c>
      <c r="B4" s="28">
        <v>65.215180059999994</v>
      </c>
      <c r="C4" s="27">
        <v>0.10399822240000001</v>
      </c>
      <c r="D4">
        <v>1.54</v>
      </c>
      <c r="E4">
        <f t="shared" si="0"/>
        <v>46.931100412894011</v>
      </c>
      <c r="F4" s="1"/>
    </row>
    <row r="5" spans="1:6" x14ac:dyDescent="0.2">
      <c r="A5" s="26" t="s">
        <v>82</v>
      </c>
      <c r="B5" s="28">
        <v>19.813128720000002</v>
      </c>
      <c r="C5" s="27">
        <v>0.31857654569999999</v>
      </c>
      <c r="D5">
        <v>0.3</v>
      </c>
      <c r="E5">
        <f t="shared" si="0"/>
        <v>16.415717210725813</v>
      </c>
      <c r="F5" s="1"/>
    </row>
    <row r="6" spans="1:6" x14ac:dyDescent="0.2">
      <c r="A6" s="26" t="s">
        <v>83</v>
      </c>
      <c r="B6" s="28">
        <v>23.240832910000002</v>
      </c>
      <c r="C6" s="27">
        <v>0.20684049609999999</v>
      </c>
      <c r="D6">
        <v>1.45</v>
      </c>
      <c r="E6">
        <f t="shared" si="0"/>
        <v>41.158720220504236</v>
      </c>
      <c r="F6" s="1"/>
    </row>
    <row r="7" spans="1:6" x14ac:dyDescent="0.2">
      <c r="A7" s="26" t="s">
        <v>8</v>
      </c>
      <c r="B7" s="28">
        <v>22.29</v>
      </c>
      <c r="C7" s="1">
        <v>0.1696</v>
      </c>
      <c r="D7">
        <v>0.99</v>
      </c>
      <c r="E7">
        <f t="shared" si="0"/>
        <v>34.601663764249061</v>
      </c>
      <c r="F7" s="1"/>
    </row>
    <row r="8" spans="1:6" x14ac:dyDescent="0.2">
      <c r="A8" s="26" t="s">
        <v>84</v>
      </c>
      <c r="B8" s="28">
        <v>23.08</v>
      </c>
      <c r="C8" s="1">
        <v>0.33040000000000003</v>
      </c>
      <c r="D8">
        <v>1.1100000000000001</v>
      </c>
      <c r="E8">
        <f t="shared" si="0"/>
        <v>30.153091415818732</v>
      </c>
      <c r="F8" s="1"/>
    </row>
    <row r="9" spans="1:6" x14ac:dyDescent="0.2">
      <c r="A9" s="26" t="s">
        <v>85</v>
      </c>
      <c r="B9" s="28">
        <v>24.27</v>
      </c>
      <c r="C9" s="1">
        <v>0.31240000000000001</v>
      </c>
      <c r="D9">
        <v>0.37</v>
      </c>
      <c r="E9">
        <f t="shared" si="0"/>
        <v>17.896343410040004</v>
      </c>
      <c r="F9" s="1"/>
    </row>
    <row r="10" spans="1:6" x14ac:dyDescent="0.2">
      <c r="A10" s="26" t="s">
        <v>86</v>
      </c>
      <c r="B10" s="28">
        <v>14.58</v>
      </c>
      <c r="C10" s="1">
        <v>0.1038</v>
      </c>
      <c r="D10">
        <v>0.45</v>
      </c>
      <c r="E10">
        <f t="shared" si="0"/>
        <v>27.804477214150431</v>
      </c>
      <c r="F10" s="1"/>
    </row>
    <row r="11" spans="1:6" x14ac:dyDescent="0.2">
      <c r="A11" s="26" t="s">
        <v>40</v>
      </c>
      <c r="B11" s="28">
        <v>35.06</v>
      </c>
      <c r="C11" s="1">
        <v>0.2016</v>
      </c>
      <c r="D11">
        <v>0.83</v>
      </c>
      <c r="E11">
        <f t="shared" si="0"/>
        <v>30.488393370785154</v>
      </c>
      <c r="F11" s="1"/>
    </row>
    <row r="12" spans="1:6" x14ac:dyDescent="0.2">
      <c r="A12" s="26" t="s">
        <v>87</v>
      </c>
      <c r="B12" s="28">
        <v>23.6</v>
      </c>
      <c r="C12" s="1">
        <v>0.28699999999999998</v>
      </c>
      <c r="D12">
        <v>0.2</v>
      </c>
      <c r="E12">
        <f t="shared" si="0"/>
        <v>15.947483841690117</v>
      </c>
      <c r="F12" s="1"/>
    </row>
    <row r="13" spans="1:6" x14ac:dyDescent="0.2">
      <c r="A13" s="26" t="s">
        <v>45</v>
      </c>
      <c r="B13" s="28">
        <v>24.08</v>
      </c>
      <c r="C13" s="29">
        <v>0.1062</v>
      </c>
      <c r="D13">
        <v>0.3</v>
      </c>
      <c r="E13">
        <f t="shared" si="0"/>
        <v>25.073423092363409</v>
      </c>
      <c r="F13" s="1"/>
    </row>
    <row r="14" spans="1:6" x14ac:dyDescent="0.2">
      <c r="A14" s="26" t="s">
        <v>90</v>
      </c>
      <c r="B14" s="28">
        <v>28.54</v>
      </c>
      <c r="C14" s="1">
        <v>0.1356</v>
      </c>
      <c r="D14">
        <v>0.79</v>
      </c>
      <c r="E14">
        <f t="shared" si="0"/>
        <v>32.476747096126381</v>
      </c>
      <c r="F14" s="1"/>
    </row>
    <row r="15" spans="1:6" x14ac:dyDescent="0.2">
      <c r="A15" s="26" t="s">
        <v>91</v>
      </c>
      <c r="B15" s="28">
        <v>27.52</v>
      </c>
      <c r="C15" s="1">
        <v>0.1061</v>
      </c>
      <c r="D15">
        <v>0.21</v>
      </c>
      <c r="E15">
        <f t="shared" si="0"/>
        <v>23.497569995487265</v>
      </c>
      <c r="F15" s="1"/>
    </row>
    <row r="16" spans="1:6" x14ac:dyDescent="0.2">
      <c r="A16" s="26" t="s">
        <v>92</v>
      </c>
      <c r="B16" s="28">
        <v>24.04</v>
      </c>
      <c r="C16" s="30">
        <v>0.33040000000000003</v>
      </c>
      <c r="D16">
        <v>0.35</v>
      </c>
      <c r="E16">
        <f t="shared" si="0"/>
        <v>16.811463009074572</v>
      </c>
      <c r="F16" s="1"/>
    </row>
    <row r="17" spans="1:6" x14ac:dyDescent="0.2">
      <c r="A17" s="26" t="s">
        <v>33</v>
      </c>
      <c r="B17" s="28">
        <f>AVERAGE(B2:B16)</f>
        <v>28.933576816666669</v>
      </c>
      <c r="C17" s="49">
        <f t="shared" ref="C17:D17" si="1">AVERAGE(C2:C16)</f>
        <v>0.20529021362666669</v>
      </c>
      <c r="D17" s="28">
        <f t="shared" si="1"/>
        <v>0.74400000000000011</v>
      </c>
      <c r="F17" s="1"/>
    </row>
    <row r="18" spans="1:6" x14ac:dyDescent="0.2">
      <c r="A18" s="26" t="s">
        <v>48</v>
      </c>
      <c r="B18" s="28">
        <f>MEDIAN(B2:B16)</f>
        <v>24.04</v>
      </c>
      <c r="C18" s="49">
        <f t="shared" ref="C18:D18" si="2">MEDIAN(C2:C16)</f>
        <v>0.2016</v>
      </c>
      <c r="D18" s="28">
        <f t="shared" si="2"/>
        <v>0.71</v>
      </c>
      <c r="F18" s="1"/>
    </row>
    <row r="19" spans="1:6" x14ac:dyDescent="0.2">
      <c r="C19" s="48"/>
    </row>
    <row r="20" spans="1:6" x14ac:dyDescent="0.2">
      <c r="A20" t="s">
        <v>9</v>
      </c>
    </row>
    <row r="21" spans="1:6" ht="17" thickBot="1" x14ac:dyDescent="0.25"/>
    <row r="22" spans="1:6" x14ac:dyDescent="0.2">
      <c r="A22" s="5" t="s">
        <v>10</v>
      </c>
      <c r="B22" s="5"/>
    </row>
    <row r="23" spans="1:6" x14ac:dyDescent="0.2">
      <c r="A23" s="2" t="s">
        <v>11</v>
      </c>
      <c r="B23" s="2">
        <v>0.68657128787817123</v>
      </c>
    </row>
    <row r="24" spans="1:6" x14ac:dyDescent="0.2">
      <c r="A24" s="2" t="s">
        <v>12</v>
      </c>
      <c r="B24" s="2">
        <v>0.47138013333869072</v>
      </c>
    </row>
    <row r="25" spans="1:6" x14ac:dyDescent="0.2">
      <c r="A25" s="2" t="s">
        <v>13</v>
      </c>
      <c r="B25" s="2">
        <v>0.38327682222847254</v>
      </c>
    </row>
    <row r="26" spans="1:6" x14ac:dyDescent="0.2">
      <c r="A26" s="2" t="s">
        <v>14</v>
      </c>
      <c r="B26" s="2">
        <v>11.68570880875922</v>
      </c>
    </row>
    <row r="27" spans="1:6" ht="17" thickBot="1" x14ac:dyDescent="0.25">
      <c r="A27" s="3" t="s">
        <v>15</v>
      </c>
      <c r="B27" s="3">
        <v>15</v>
      </c>
    </row>
    <row r="29" spans="1:6" ht="17" thickBot="1" x14ac:dyDescent="0.25">
      <c r="A29" t="s">
        <v>16</v>
      </c>
    </row>
    <row r="30" spans="1:6" x14ac:dyDescent="0.2">
      <c r="A30" s="4"/>
      <c r="B30" s="4" t="s">
        <v>21</v>
      </c>
      <c r="C30" s="4" t="s">
        <v>22</v>
      </c>
      <c r="D30" s="4" t="s">
        <v>23</v>
      </c>
      <c r="E30" s="4" t="s">
        <v>24</v>
      </c>
      <c r="F30" s="4" t="s">
        <v>25</v>
      </c>
    </row>
    <row r="31" spans="1:6" x14ac:dyDescent="0.2">
      <c r="A31" s="2" t="s">
        <v>17</v>
      </c>
      <c r="B31" s="2">
        <v>2</v>
      </c>
      <c r="C31" s="2">
        <v>1461.2319527697937</v>
      </c>
      <c r="D31" s="2">
        <v>730.61597638489684</v>
      </c>
      <c r="E31" s="2">
        <v>5.3503112130370329</v>
      </c>
      <c r="F31" s="2">
        <v>2.1820308422021133E-2</v>
      </c>
    </row>
    <row r="32" spans="1:6" x14ac:dyDescent="0.2">
      <c r="A32" s="2" t="s">
        <v>18</v>
      </c>
      <c r="B32" s="2">
        <v>12</v>
      </c>
      <c r="C32" s="2">
        <v>1638.6694843573537</v>
      </c>
      <c r="D32" s="2">
        <v>136.55579036311281</v>
      </c>
      <c r="E32" s="2"/>
      <c r="F32" s="2"/>
    </row>
    <row r="33" spans="1:9" ht="17" thickBot="1" x14ac:dyDescent="0.25">
      <c r="A33" s="3" t="s">
        <v>19</v>
      </c>
      <c r="B33" s="3">
        <v>14</v>
      </c>
      <c r="C33" s="3">
        <v>3099.9014371271473</v>
      </c>
      <c r="D33" s="3"/>
      <c r="E33" s="3"/>
      <c r="F33" s="3"/>
    </row>
    <row r="34" spans="1:9" ht="17" thickBot="1" x14ac:dyDescent="0.25"/>
    <row r="35" spans="1:9" x14ac:dyDescent="0.2">
      <c r="A35" s="4"/>
      <c r="B35" s="4" t="s">
        <v>26</v>
      </c>
      <c r="C35" s="4" t="s">
        <v>14</v>
      </c>
      <c r="D35" s="4" t="s">
        <v>27</v>
      </c>
      <c r="E35" s="4" t="s">
        <v>28</v>
      </c>
      <c r="F35" s="4" t="s">
        <v>29</v>
      </c>
      <c r="G35" s="4" t="s">
        <v>30</v>
      </c>
      <c r="H35" s="4" t="s">
        <v>31</v>
      </c>
      <c r="I35" s="4" t="s">
        <v>32</v>
      </c>
    </row>
    <row r="36" spans="1:9" x14ac:dyDescent="0.2">
      <c r="A36" s="2" t="s">
        <v>20</v>
      </c>
      <c r="B36" s="2">
        <v>24.136321834350166</v>
      </c>
      <c r="C36" s="2">
        <v>10.305572220689244</v>
      </c>
      <c r="D36" s="2">
        <v>2.3420651777001384</v>
      </c>
      <c r="E36" s="2">
        <v>3.7245689487198454E-2</v>
      </c>
      <c r="F36" s="2">
        <v>1.6824088628502505</v>
      </c>
      <c r="G36" s="2">
        <v>46.590234805850081</v>
      </c>
      <c r="H36" s="2">
        <v>1.6824088628502505</v>
      </c>
      <c r="I36" s="2">
        <v>46.590234805850081</v>
      </c>
    </row>
    <row r="37" spans="1:9" x14ac:dyDescent="0.2">
      <c r="A37" s="2" t="s">
        <v>2</v>
      </c>
      <c r="B37" s="2">
        <v>-40.76582869874597</v>
      </c>
      <c r="C37" s="2">
        <v>35.649667659295496</v>
      </c>
      <c r="D37" s="2">
        <v>-1.1435121664624119</v>
      </c>
      <c r="E37" s="2">
        <v>0.27512584318246686</v>
      </c>
      <c r="F37" s="2">
        <v>-118.43978196819187</v>
      </c>
      <c r="G37" s="2">
        <v>36.908124570699925</v>
      </c>
      <c r="H37" s="2">
        <v>-118.43978196819187</v>
      </c>
      <c r="I37" s="2">
        <v>36.908124570699925</v>
      </c>
    </row>
    <row r="38" spans="1:9" ht="17" thickBot="1" x14ac:dyDescent="0.25">
      <c r="A38" s="3" t="s">
        <v>3</v>
      </c>
      <c r="B38" s="3">
        <v>17.554774219400212</v>
      </c>
      <c r="C38" s="3">
        <v>6.6046398798439627</v>
      </c>
      <c r="D38" s="3">
        <v>2.6579457076795157</v>
      </c>
      <c r="E38" s="3">
        <v>2.087047427286854E-2</v>
      </c>
      <c r="F38" s="3">
        <v>3.1645001138643636</v>
      </c>
      <c r="G38" s="3">
        <v>31.94504832493606</v>
      </c>
      <c r="H38" s="3">
        <v>3.1645001138643636</v>
      </c>
      <c r="I38" s="3">
        <v>31.94504832493606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04246-6D9E-BF43-8C11-A0E1A8AEBDB3}">
  <dimension ref="A1:P22"/>
  <sheetViews>
    <sheetView zoomScale="160" zoomScaleNormal="160" workbookViewId="0">
      <selection activeCell="D22" sqref="D22:E22"/>
    </sheetView>
  </sheetViews>
  <sheetFormatPr baseColWidth="10" defaultRowHeight="16" x14ac:dyDescent="0.2"/>
  <cols>
    <col min="1" max="1" width="13.1640625" bestFit="1" customWidth="1"/>
    <col min="4" max="5" width="19.83203125" customWidth="1"/>
  </cols>
  <sheetData>
    <row r="1" spans="1:16" x14ac:dyDescent="0.2">
      <c r="A1" t="s">
        <v>0</v>
      </c>
      <c r="B1" t="s">
        <v>1</v>
      </c>
      <c r="D1" t="s">
        <v>0</v>
      </c>
      <c r="E1" t="s">
        <v>37</v>
      </c>
      <c r="F1" t="s">
        <v>34</v>
      </c>
      <c r="G1" s="6" t="s">
        <v>35</v>
      </c>
      <c r="H1" s="12" t="s">
        <v>38</v>
      </c>
      <c r="I1" s="6"/>
      <c r="J1" s="6"/>
      <c r="K1" s="6"/>
      <c r="L1" s="6"/>
      <c r="M1" s="6"/>
      <c r="N1" s="6"/>
      <c r="O1" s="6"/>
      <c r="P1" s="6"/>
    </row>
    <row r="2" spans="1:16" ht="34" x14ac:dyDescent="0.2">
      <c r="A2" t="s">
        <v>4</v>
      </c>
      <c r="B2">
        <v>23.12</v>
      </c>
      <c r="C2" s="1"/>
      <c r="D2" s="10" t="s">
        <v>36</v>
      </c>
      <c r="E2" s="11">
        <v>0.25</v>
      </c>
      <c r="F2" s="9">
        <v>37364</v>
      </c>
      <c r="G2" s="6">
        <f>F2*B7</f>
        <v>782103.24800000014</v>
      </c>
      <c r="H2" s="6">
        <f>G2*E2</f>
        <v>195525.81200000003</v>
      </c>
      <c r="I2" s="6"/>
      <c r="J2" s="6"/>
      <c r="K2" s="6"/>
      <c r="L2" s="6"/>
      <c r="M2" s="6"/>
      <c r="N2" s="6"/>
      <c r="O2" s="6"/>
      <c r="P2" s="6"/>
    </row>
    <row r="3" spans="1:16" x14ac:dyDescent="0.2">
      <c r="A3" t="s">
        <v>5</v>
      </c>
      <c r="B3">
        <v>21.25</v>
      </c>
      <c r="C3" s="1"/>
      <c r="G3" s="7"/>
      <c r="H3" s="7"/>
      <c r="I3" s="6"/>
      <c r="J3" s="6"/>
      <c r="K3" s="6"/>
      <c r="L3" s="6"/>
      <c r="M3" s="6"/>
      <c r="N3" s="6"/>
      <c r="O3" s="6"/>
      <c r="P3" s="6"/>
    </row>
    <row r="4" spans="1:16" x14ac:dyDescent="0.2">
      <c r="A4" t="s">
        <v>7</v>
      </c>
      <c r="B4">
        <v>23.46</v>
      </c>
      <c r="C4" s="1"/>
      <c r="G4" s="2"/>
      <c r="H4" s="2"/>
      <c r="I4" s="6"/>
      <c r="J4" s="6"/>
      <c r="K4" s="6"/>
      <c r="L4" s="6"/>
      <c r="M4" s="6"/>
      <c r="N4" s="6"/>
      <c r="O4" s="6"/>
      <c r="P4" s="6"/>
    </row>
    <row r="5" spans="1:16" x14ac:dyDescent="0.2">
      <c r="A5" t="s">
        <v>8</v>
      </c>
      <c r="B5">
        <v>22.33</v>
      </c>
      <c r="C5" s="1"/>
      <c r="G5" s="2"/>
      <c r="H5" s="2"/>
      <c r="I5" s="6"/>
      <c r="J5" s="6"/>
      <c r="K5" s="6"/>
      <c r="L5" s="6"/>
      <c r="M5" s="6"/>
      <c r="N5" s="6"/>
      <c r="O5" s="6"/>
      <c r="P5" s="6"/>
    </row>
    <row r="6" spans="1:16" x14ac:dyDescent="0.2">
      <c r="A6" t="s">
        <v>6</v>
      </c>
      <c r="B6">
        <v>14.5</v>
      </c>
      <c r="C6" s="1"/>
      <c r="G6" s="2"/>
      <c r="H6" s="2"/>
      <c r="I6" s="6"/>
      <c r="J6" s="6"/>
      <c r="K6" s="6"/>
      <c r="L6" s="6"/>
      <c r="M6" s="6"/>
      <c r="N6" s="6"/>
      <c r="O6" s="6"/>
      <c r="P6" s="6"/>
    </row>
    <row r="7" spans="1:16" x14ac:dyDescent="0.2">
      <c r="A7" t="s">
        <v>33</v>
      </c>
      <c r="B7">
        <f>AVERAGE(B2:B6)</f>
        <v>20.932000000000002</v>
      </c>
      <c r="G7" s="2"/>
      <c r="H7" s="2"/>
      <c r="I7" s="6"/>
      <c r="J7" s="6"/>
      <c r="K7" s="6"/>
      <c r="L7" s="6"/>
      <c r="M7" s="6"/>
      <c r="N7" s="6"/>
      <c r="O7" s="6"/>
      <c r="P7" s="6"/>
    </row>
    <row r="8" spans="1:16" x14ac:dyDescent="0.2">
      <c r="B8" s="9"/>
      <c r="G8" s="2"/>
      <c r="H8" s="2"/>
      <c r="I8" s="6"/>
      <c r="J8" s="6"/>
      <c r="K8" s="6"/>
      <c r="L8" s="6"/>
      <c r="M8" s="6"/>
      <c r="N8" s="6"/>
      <c r="O8" s="6"/>
      <c r="P8" s="6"/>
    </row>
    <row r="9" spans="1:16" ht="51" x14ac:dyDescent="0.2">
      <c r="A9" t="s">
        <v>39</v>
      </c>
      <c r="B9">
        <v>19.79</v>
      </c>
      <c r="D9" s="10" t="s">
        <v>43</v>
      </c>
      <c r="E9" s="13">
        <v>0.35</v>
      </c>
      <c r="F9" s="9">
        <v>54134</v>
      </c>
      <c r="G9" s="6">
        <f>F9*B13</f>
        <v>1185805.27</v>
      </c>
      <c r="H9" s="6">
        <f>G9*E9</f>
        <v>415031.84450000001</v>
      </c>
      <c r="I9" s="6"/>
      <c r="J9" s="6"/>
      <c r="K9" s="6"/>
      <c r="L9" s="6"/>
      <c r="M9" s="6"/>
      <c r="N9" s="6"/>
      <c r="O9" s="6"/>
      <c r="P9" s="6"/>
    </row>
    <row r="10" spans="1:16" x14ac:dyDescent="0.2">
      <c r="A10" t="s">
        <v>40</v>
      </c>
      <c r="B10">
        <v>35.06</v>
      </c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 x14ac:dyDescent="0.2">
      <c r="A11" t="s">
        <v>41</v>
      </c>
      <c r="B11">
        <v>18.100000000000001</v>
      </c>
      <c r="G11" s="8"/>
      <c r="H11" s="8"/>
      <c r="I11" s="8"/>
      <c r="J11" s="8"/>
      <c r="K11" s="8"/>
      <c r="L11" s="8"/>
      <c r="M11" s="6"/>
      <c r="N11" s="6"/>
      <c r="O11" s="6"/>
      <c r="P11" s="6"/>
    </row>
    <row r="12" spans="1:16" x14ac:dyDescent="0.2">
      <c r="A12" t="s">
        <v>42</v>
      </c>
      <c r="B12">
        <v>24.02</v>
      </c>
      <c r="G12" s="2"/>
      <c r="H12" s="2"/>
      <c r="I12" s="2"/>
      <c r="J12" s="2"/>
      <c r="K12" s="2"/>
      <c r="L12" s="2"/>
      <c r="M12" s="6"/>
      <c r="N12" s="6"/>
      <c r="O12" s="6"/>
      <c r="P12" s="6"/>
    </row>
    <row r="13" spans="1:16" x14ac:dyDescent="0.2">
      <c r="A13" t="s">
        <v>48</v>
      </c>
      <c r="B13">
        <f>MEDIAN(B9:B12)</f>
        <v>21.905000000000001</v>
      </c>
      <c r="G13" s="2"/>
      <c r="H13" s="2"/>
      <c r="I13" s="2"/>
      <c r="J13" s="2"/>
      <c r="K13" s="2"/>
      <c r="L13" s="2"/>
      <c r="M13" s="6"/>
      <c r="N13" s="6"/>
      <c r="O13" s="6"/>
      <c r="P13" s="6"/>
    </row>
    <row r="14" spans="1:16" x14ac:dyDescent="0.2">
      <c r="G14" s="2"/>
      <c r="H14" s="2"/>
      <c r="I14" s="2"/>
      <c r="J14" s="2"/>
      <c r="K14" s="2"/>
      <c r="L14" s="2"/>
      <c r="M14" s="6"/>
      <c r="N14" s="6"/>
      <c r="O14" s="6"/>
      <c r="P14" s="6"/>
    </row>
    <row r="15" spans="1:16" x14ac:dyDescent="0.2">
      <c r="A15" t="s">
        <v>44</v>
      </c>
      <c r="B15">
        <v>35.06</v>
      </c>
      <c r="D15" t="s">
        <v>49</v>
      </c>
      <c r="E15" s="13">
        <v>0.5</v>
      </c>
      <c r="F15" s="9">
        <v>66044</v>
      </c>
      <c r="G15" s="6">
        <f>F15*B20</f>
        <v>1590339.5199999998</v>
      </c>
      <c r="H15" s="6">
        <f>G15*E15</f>
        <v>795169.75999999989</v>
      </c>
      <c r="I15" s="6"/>
      <c r="J15" s="6"/>
      <c r="K15" s="6"/>
      <c r="L15" s="6"/>
      <c r="M15" s="6"/>
      <c r="N15" s="6"/>
      <c r="O15" s="6"/>
      <c r="P15" s="6"/>
    </row>
    <row r="16" spans="1:16" x14ac:dyDescent="0.2">
      <c r="A16" t="s">
        <v>45</v>
      </c>
      <c r="B16">
        <v>24.08</v>
      </c>
      <c r="G16" s="6"/>
      <c r="H16" s="6"/>
      <c r="I16" s="6"/>
      <c r="J16" s="6"/>
      <c r="K16" s="6"/>
      <c r="L16" s="6"/>
      <c r="M16" s="6"/>
      <c r="N16" s="6"/>
      <c r="O16" s="6"/>
      <c r="P16" s="6"/>
    </row>
    <row r="17" spans="1:16" x14ac:dyDescent="0.2">
      <c r="A17" t="s">
        <v>46</v>
      </c>
      <c r="B17">
        <v>23.53</v>
      </c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1:16" x14ac:dyDescent="0.2">
      <c r="A18" t="s">
        <v>47</v>
      </c>
      <c r="B18">
        <v>24.2</v>
      </c>
      <c r="G18" s="6"/>
      <c r="H18" s="6"/>
      <c r="I18" s="6"/>
      <c r="J18" s="6"/>
      <c r="K18" s="6"/>
      <c r="L18" s="6"/>
      <c r="M18" s="6"/>
      <c r="N18" s="6"/>
      <c r="O18" s="6"/>
      <c r="P18" s="6"/>
    </row>
    <row r="19" spans="1:16" x14ac:dyDescent="0.2">
      <c r="A19" t="s">
        <v>42</v>
      </c>
      <c r="B19">
        <v>24.02</v>
      </c>
      <c r="G19" s="6"/>
      <c r="H19" s="6"/>
      <c r="I19" s="6"/>
      <c r="J19" s="6"/>
      <c r="K19" s="6"/>
      <c r="L19" s="6"/>
      <c r="M19" s="6"/>
      <c r="N19" s="6"/>
      <c r="O19" s="6"/>
      <c r="P19" s="6"/>
    </row>
    <row r="20" spans="1:16" x14ac:dyDescent="0.2">
      <c r="A20" t="s">
        <v>48</v>
      </c>
      <c r="B20">
        <f>MEDIAN(B15:B19)</f>
        <v>24.08</v>
      </c>
      <c r="G20" s="6"/>
      <c r="H20" s="6"/>
      <c r="I20" s="6"/>
      <c r="J20" s="6"/>
      <c r="K20" s="6"/>
      <c r="L20" s="6"/>
      <c r="M20" s="6"/>
      <c r="N20" s="6"/>
      <c r="O20" s="6"/>
      <c r="P20" s="6"/>
    </row>
    <row r="21" spans="1:16" x14ac:dyDescent="0.2"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1:16" ht="51" x14ac:dyDescent="0.2">
      <c r="D22" s="10" t="s">
        <v>50</v>
      </c>
      <c r="E22" t="s">
        <v>51</v>
      </c>
      <c r="H22" s="9">
        <v>9488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DCF</vt:lpstr>
      <vt:lpstr>Monte Carlo</vt:lpstr>
      <vt:lpstr>Sensitivity Analysis</vt:lpstr>
      <vt:lpstr>Relative Valuation</vt:lpstr>
      <vt:lpstr>Valuing Associates &amp; JVs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Maaz Khan</dc:creator>
  <cp:lastModifiedBy>Maaz Khan</cp:lastModifiedBy>
  <dcterms:created xsi:type="dcterms:W3CDTF">2025-08-19T15:13:17Z</dcterms:created>
  <dcterms:modified xsi:type="dcterms:W3CDTF">2025-08-20T18:32:01Z</dcterms:modified>
</cp:coreProperties>
</file>